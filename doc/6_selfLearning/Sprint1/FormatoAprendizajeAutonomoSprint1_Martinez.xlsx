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ortada" sheetId="1" state="visible" r:id="rId3"/>
    <sheet name="Habilidades Gestión" sheetId="2" state="visible" r:id="rId4"/>
    <sheet name="Habilidades Técnicas" sheetId="3" state="visible" r:id="rId5"/>
    <sheet name="Matriz de priorización" sheetId="4" state="visible" r:id="rId6"/>
    <sheet name="PivotTable" sheetId="5" state="visible" r:id="rId7"/>
    <sheet name="Plan de Aprendizaje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<sst xmlns="http://schemas.openxmlformats.org/spreadsheetml/2006/main" count="216" uniqueCount="140">
  <si>
    <t xml:space="preserve">Plan de aprendizaje “Proyecto Integrador I”</t>
  </si>
  <si>
    <t xml:space="preserve"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</si>
  <si>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 xml:space="preserve">¿Qué harás?</t>
  </si>
  <si>
    <t xml:space="preserve">Visualiza tu desempeño actual en habilidades clave para el trabajo colaborativo (habilidades de gestión) y en los saberes técnicos requeridos por el proyecto.</t>
  </si>
  <si>
    <t xml:space="preserve">Identifica tus brechas de aprendizaje, tanto en habilidades de gestión como en las técnicas.</t>
  </si>
  <si>
    <t xml:space="preserve">Diseña tu plan personal de aprendizaje, priorizando lo que el proyecto te demanda y lo que aún necesitas fortalecer.</t>
  </si>
  <si>
    <t xml:space="preserve">Activa tu capacidad de aprender a aprender, es decir, tu habilidad para gestionar tu propio proceso de aprendizaje.</t>
  </si>
  <si>
    <t xml:space="preserve">A continuación encontrarás una serie de criterios relacionados con las habilidades de gestión. Por favor, léelos con atención y reflexiona sobre tu experiencia.</t>
  </si>
  <si>
    <t xml:space="preserve">Sprint 1 - 2025-2-PI1</t>
  </si>
  <si>
    <t xml:space="preserve">Califícate del 1 al 5, donde:
4.5-5 significa “Sobresaliente”. Tienes un dominio sólido y lo aplicas con seguridad.
3.8- 4.4 significa “Proficiente”. Manejas la habilidad de forma adecuada y consistente.
3.0- 3.7 significa “En desarrollo”. Tienes avances, pero aún necesitas mejorar.
0-2.9 significa “Básico”. Requieres trabajar significativamente en este aspecto.
Sé sincero. Esta evaluación es para ti. Entre más honesta sea tu respuesta, más útil será tu diagnóstico.</t>
  </si>
  <si>
    <t xml:space="preserve">Habilidades de Gestión</t>
  </si>
  <si>
    <t xml:space="preserve">Autoevaluación</t>
  </si>
  <si>
    <t xml:space="preserve">Trabajo en equipo</t>
  </si>
  <si>
    <t xml:space="preserve">Gestión del tiempo</t>
  </si>
  <si>
    <t xml:space="preserve">Comunicación en equipo</t>
  </si>
  <si>
    <t xml:space="preserve">Compromiso</t>
  </si>
  <si>
    <t xml:space="preserve">Complementariedad</t>
  </si>
  <si>
    <t xml:space="preserve">Confianza</t>
  </si>
  <si>
    <t xml:space="preserve">Gestión de la información compartida</t>
  </si>
  <si>
    <t xml:space="preserve">Planificación</t>
  </si>
  <si>
    <t xml:space="preserve">Aprender a aprender</t>
  </si>
  <si>
    <t xml:space="preserve">Conciencia del propio aprendizaje</t>
  </si>
  <si>
    <t xml:space="preserve">Proactividad en el aprendizaje</t>
  </si>
  <si>
    <t xml:space="preserve">Presentaciones efectivas</t>
  </si>
  <si>
    <t xml:space="preserve">Claridad verbal</t>
  </si>
  <si>
    <t xml:space="preserve">Comunicación no verbal y manejo del espacio</t>
  </si>
  <si>
    <t xml:space="preserve">Interacción con la audiencia</t>
  </si>
  <si>
    <t xml:space="preserve">Análisis y Diseño</t>
  </si>
  <si>
    <t xml:space="preserve">Definición de Historias de Usuario</t>
  </si>
  <si>
    <t xml:space="preserve">Estimación y priorización de Historias de Usuario</t>
  </si>
  <si>
    <t xml:space="preserve">Utilización de Figma para crear prototipos</t>
  </si>
  <si>
    <t xml:space="preserve">Plan de pruebas</t>
  </si>
  <si>
    <t xml:space="preserve">Lenguaje Gherkin para pruebas y criterios de aceptación</t>
  </si>
  <si>
    <t xml:space="preserve">Dis. de software utilizando Diagramas de clase</t>
  </si>
  <si>
    <t xml:space="preserve">Dis. de software utilizando Diagramas de secuencia</t>
  </si>
  <si>
    <t xml:space="preserve">Dis. de BD - Modelo Relacional</t>
  </si>
  <si>
    <t xml:space="preserve">Construcción y Gestión de proyectos</t>
  </si>
  <si>
    <t xml:space="preserve">Estructuras de lenguajes de programación</t>
  </si>
  <si>
    <t xml:space="preserve">Framework Django para crear aplicaciones web</t>
  </si>
  <si>
    <t xml:space="preserve">Python</t>
  </si>
  <si>
    <t xml:space="preserve">Dis. de pruebas utilizando caja negra</t>
  </si>
  <si>
    <t xml:space="preserve">Implementación de pruebas unitarias</t>
  </si>
  <si>
    <t xml:space="preserve">Pruebas funcionales automatizadas con Selenium</t>
  </si>
  <si>
    <t xml:space="preserve">Desarrollo de interfaz de usuario utilizando HTML/CSS</t>
  </si>
  <si>
    <t xml:space="preserve">Control de Versiones utilizando Git y Github</t>
  </si>
  <si>
    <t xml:space="preserve">Jira para gestión de proyectos</t>
  </si>
  <si>
    <t xml:space="preserve">En esta hoja, diligencie las columnas D y E. 
La Columna Prioridad NO se debe diligenciar, tiene una formula automática</t>
  </si>
  <si>
    <t xml:space="preserve">Lo requiere el proyecto?</t>
  </si>
  <si>
    <t xml:space="preserve">0: No lo requiere en este momento
3: Lo requiere poco
5: Lo requiere mucho</t>
  </si>
  <si>
    <t xml:space="preserve">Estoy preparado?</t>
  </si>
  <si>
    <t xml:space="preserve">0: No estoy preparado en este momento
3: Estoy poco preparado
5: Estoy muy preparado</t>
  </si>
  <si>
    <t xml:space="preserve">Prioridad</t>
  </si>
  <si>
    <t xml:space="preserve">La columna puede tomar alguno de estos valores: 
- Puede esperar a otra entrega
- Es Urgente que lo aprenda
- Es importante que lo aprenda
- Estoy OK con esto</t>
  </si>
  <si>
    <t xml:space="preserve">En esta Entrega:</t>
  </si>
  <si>
    <t xml:space="preserve">Habilidad</t>
  </si>
  <si>
    <t xml:space="preserve">Requiere</t>
  </si>
  <si>
    <t xml:space="preserve">Preparado</t>
  </si>
  <si>
    <t xml:space="preserve">(empty)</t>
  </si>
  <si>
    <t xml:space="preserve">Importante</t>
  </si>
  <si>
    <t xml:space="preserve">Urgente</t>
  </si>
  <si>
    <t xml:space="preserve">Total Result</t>
  </si>
  <si>
    <t xml:space="preserve">Mi plan de aprendizaje personal - Sprint 1</t>
  </si>
  <si>
    <t xml:space="preserve">Habilidad priorizada</t>
  </si>
  <si>
    <t xml:space="preserve">Objetivo de aprendizaje</t>
  </si>
  <si>
    <t xml:space="preserve">Acciones especificas</t>
  </si>
  <si>
    <t xml:space="preserve">Recursos o apoyos (¿Con qué o quién me apoyo?)</t>
  </si>
  <si>
    <t xml:space="preserve">Fechas Estimadas</t>
  </si>
  <si>
    <t xml:space="preserve">Avance semanal</t>
  </si>
  <si>
    <t xml:space="preserve">¿Qué quieres lograr concretamente?</t>
  </si>
  <si>
    <t xml:space="preserve">¿Qué vas a hacer?</t>
  </si>
  <si>
    <t xml:space="preserve">Semana 1
(16-22 Mar)</t>
  </si>
  <si>
    <t xml:space="preserve">Semana 2
(23-29 Mar)</t>
  </si>
  <si>
    <t xml:space="preserve">Semana 3
(30 Mar-5 Abr)</t>
  </si>
  <si>
    <t xml:space="preserve">Semana 4
(6-12 Abr)</t>
  </si>
  <si>
    <t xml:space="preserve">Ser mas seguro y exponer fluidamente</t>
  </si>
  <si>
    <t xml:space="preserve">Practicar frente al espejo y con publico</t>
  </si>
  <si>
    <t xml:space="preserve">Espejo y amigos que me ayuden a mejorar</t>
  </si>
  <si>
    <t xml:space="preserve">Practicar 10 min/día frente al espejo con temas libres</t>
  </si>
  <si>
    <t xml:space="preserve">Grabar un video y analizar postura y gestos</t>
  </si>
  <si>
    <t xml:space="preserve">Mini-exposición de 5 min con amigos y recibir feedback</t>
  </si>
  <si>
    <t xml:space="preserve">Ajustar técnicas según la retroalimentación recibida</t>
  </si>
  <si>
    <t xml:space="preserve">No trabarme al hablar y exponer claramente mis ideas</t>
  </si>
  <si>
    <t xml:space="preserve">Tener mas conversaciones para mejorar mi confianza</t>
  </si>
  <si>
    <t xml:space="preserve">Amigos o tutores</t>
  </si>
  <si>
    <t xml:space="preserve">Tener 3 conversaciones intencionadas por día</t>
  </si>
  <si>
    <t xml:space="preserve">Exponer un tema breve sin preparación previa</t>
  </si>
  <si>
    <t xml:space="preserve">Participar activamente en un debate grupal</t>
  </si>
  <si>
    <t xml:space="preserve">Realizar presentación grabada y revisar fluidez</t>
  </si>
  <si>
    <t xml:space="preserve">Tener mas conocimiento y poder hacerlo correctamente</t>
  </si>
  <si>
    <t xml:space="preserve">Estudiar y leer mas sobre el tema</t>
  </si>
  <si>
    <t xml:space="preserve">libros e internet</t>
  </si>
  <si>
    <t xml:space="preserve">Leer fundamentos: entidades, atributos, relaciones</t>
  </si>
  <si>
    <t xml:space="preserve">Ejercicios de normalización: 1FN y 2FN</t>
  </si>
  <si>
    <t xml:space="preserve">Ejercicios de normalización: 3FN y BCNF</t>
  </si>
  <si>
    <t xml:space="preserve">Diseñar modelo ER completo para caso de estudio</t>
  </si>
  <si>
    <t xml:space="preserve">Aprender mas y lograr realizar todo correctamente</t>
  </si>
  <si>
    <t xml:space="preserve">Estudiar y practicar mas</t>
  </si>
  <si>
    <t xml:space="preserve">Identificar casos de prueba para los módulos del sprint usando partición de equivalencia</t>
  </si>
  <si>
    <t xml:space="preserve">Diseñar casos de prueba con valores límite para formularios y validaciones Django</t>
  </si>
  <si>
    <t xml:space="preserve">Aplicar tablas de decisión a la lógica de negocio implementada</t>
  </si>
  <si>
    <t xml:space="preserve">Documentar y ejecutar todos los casos de prueba; reportar defectos encontrados</t>
  </si>
  <si>
    <t xml:space="preserve">Aprender sobre este framework</t>
  </si>
  <si>
    <t xml:space="preserve">Estudiar y aprender a usarlo</t>
  </si>
  <si>
    <t xml:space="preserve">Instalar Django y crear proyecto 'Hola Mundo'</t>
  </si>
  <si>
    <t xml:space="preserve">Crear modelos y migraciones básicas</t>
  </si>
  <si>
    <t xml:space="preserve">Construir vistas y URLs con CRUD básico</t>
  </si>
  <si>
    <t xml:space="preserve">Implementar templates y formularios</t>
  </si>
  <si>
    <t xml:space="preserve">Agregar autenticación de usuarios</t>
  </si>
  <si>
    <t xml:space="preserve">Ver como desplegar</t>
  </si>
  <si>
    <t xml:space="preserve">Poder realizar todo lo que quiero en el tiempo que tengo</t>
  </si>
  <si>
    <t xml:space="preserve">Planear bien mis horarios y lo que voy a hacer</t>
  </si>
  <si>
    <t xml:space="preserve">herramientas practicas</t>
  </si>
  <si>
    <t xml:space="preserve">Registrar cómo uso mi tiempo durante 3 días</t>
  </si>
  <si>
    <t xml:space="preserve">Crear horario semanal con bloques de estudio</t>
  </si>
  <si>
    <t xml:space="preserve">Usar técnica Pomodoro durante toda la semana</t>
  </si>
  <si>
    <t xml:space="preserve">Revisar y ajustar plan según cumplimiento real</t>
  </si>
  <si>
    <t xml:space="preserve">Interactuar mas con la audiencia </t>
  </si>
  <si>
    <t xml:space="preserve">Practicar mis exposicion con publico e interactuar</t>
  </si>
  <si>
    <t xml:space="preserve">Estudiar técnicas de Q&amp;A y manejo de audiencia</t>
  </si>
  <si>
    <t xml:space="preserve">Practicar hacer preguntas abiertas al público</t>
  </si>
  <si>
    <t xml:space="preserve">Exposición con sección de preguntas y respuestas</t>
  </si>
  <si>
    <t xml:space="preserve">Incorporar dinámicas participativas en presentación</t>
  </si>
  <si>
    <t xml:space="preserve">Aprender a usar esta aplicación</t>
  </si>
  <si>
    <t xml:space="preserve">Leer y estudiar sobre el tema</t>
  </si>
  <si>
    <t xml:space="preserve">Configurar proyecto Sprint 1 en Jira: épicas, historias de usuario y criterios de aceptación</t>
  </si>
  <si>
    <t xml:space="preserve">Gestionar backlog del sprint: priorizar tareas y asignar responsables</t>
  </si>
  <si>
    <t xml:space="preserve">Registrar avances diarios, actualizar estados y manejar impedimentos del sprint</t>
  </si>
  <si>
    <t xml:space="preserve">Generar métricas del sprint (burndown, velocidad) y preparar sprint review</t>
  </si>
  <si>
    <t xml:space="preserve">Aprender como se usa</t>
  </si>
  <si>
    <t xml:space="preserve">Leer,estudiar y usarla</t>
  </si>
  <si>
    <t xml:space="preserve">Configurar Selenium con el proyecto Django; escribir primer script de prueba de login</t>
  </si>
  <si>
    <t xml:space="preserve">Automatizar flujos CRUD del sprint: crear, leer, actualizar y eliminar registros</t>
  </si>
  <si>
    <t xml:space="preserve">Crear suite de pruebas para los módulos implementados usando Page Object Model</t>
  </si>
  <si>
    <t xml:space="preserve">Integrar pruebas Selenium en flujo del proyecto y generar reporte de resultados</t>
  </si>
  <si>
    <t xml:space="preserve">Mejorar mi programacion </t>
  </si>
  <si>
    <t xml:space="preserve">Practicar masy aprender bien sobre este lenguaje</t>
  </si>
  <si>
    <t xml:space="preserve">Repasar POO aplicado a Django: modelos como clases, herencia en vistas</t>
  </si>
  <si>
    <t xml:space="preserve">Practicar manejo de archivos, excepciones y decoradores en contexto del proyecto</t>
  </si>
  <si>
    <t xml:space="preserve">Resolver ejercicios de estructuras de datos aplicados a lógica del backend</t>
  </si>
  <si>
    <t xml:space="preserve">Desarrollar mini-módulo funcional en Python integrado al proyecto Django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</si>
</sst>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2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0"/>
      <name val="Aptos Narrow"/>
      <family val="0"/>
      <charset val="1"/>
    </font>
    <font>
      <sz val="11"/>
      <color theme="0"/>
      <name val="Aptos Narrow"/>
      <family val="2"/>
      <charset val="1"/>
    </font>
    <font>
      <b val="true"/>
      <sz val="36"/>
      <color rgb="FF000000"/>
      <name val="Aptos Narrow"/>
      <family val="2"/>
      <charset val="1"/>
    </font>
    <font>
      <sz val="36"/>
      <color theme="1"/>
      <name val="Aptos Narrow"/>
      <family val="2"/>
      <charset val="1"/>
    </font>
    <font>
      <sz val="12"/>
      <color rgb="FF000000"/>
      <name val="Arial"/>
      <family val="0"/>
      <charset val="1"/>
    </font>
    <font>
      <b val="true"/>
      <sz val="12"/>
      <color rgb="FF5353ED"/>
      <name val="Arial"/>
      <family val="0"/>
      <charset val="1"/>
    </font>
    <font>
      <b val="true"/>
      <sz val="22"/>
      <color rgb="FF5353ED"/>
      <name val="Aptos Narrow"/>
      <family val="2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b val="true"/>
      <sz val="11"/>
      <color theme="0"/>
      <name val="Aptos Narrow"/>
      <family val="2"/>
      <charset val="1"/>
    </font>
    <font>
      <sz val="14"/>
      <color theme="1"/>
      <name val="Arial"/>
      <family val="0"/>
      <charset val="1"/>
    </font>
    <font>
      <sz val="11"/>
      <color rgb="FF2C2C2C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595959"/>
      <name val="Aptos Narrow"/>
      <family val="2"/>
    </font>
    <font>
      <sz val="9"/>
      <color rgb="FF7E350E"/>
      <name val="Aptos Narrow"/>
      <family val="2"/>
    </font>
    <font>
      <sz val="9"/>
      <color rgb="FF595959"/>
      <name val="Aptos Narrow"/>
      <family val="2"/>
    </font>
    <font>
      <sz val="11"/>
      <color theme="1"/>
      <name val="Arial"/>
      <family val="0"/>
      <charset val="1"/>
    </font>
    <font>
      <b val="true"/>
      <sz val="11"/>
      <color rgb="FF2C2C2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Aptos Narrow"/>
      <family val="2"/>
      <charset val="1"/>
    </font>
    <font>
      <b val="true"/>
      <sz val="35"/>
      <color rgb="FF5353ED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rgb="FF0070C0"/>
        <bgColor rgb="FF0B77A0"/>
      </patternFill>
    </fill>
    <fill>
      <patternFill patternType="solid">
        <fgColor rgb="FFDCEBF5"/>
        <bgColor rgb="FFF7E4F1"/>
      </patternFill>
    </fill>
    <fill>
      <patternFill patternType="solid">
        <fgColor rgb="FFF7E4F1"/>
        <bgColor rgb="FFDCEBF5"/>
      </patternFill>
    </fill>
    <fill>
      <patternFill patternType="solid">
        <fgColor theme="8"/>
        <bgColor rgb="FF993366"/>
      </patternFill>
    </fill>
    <fill>
      <patternFill patternType="solid">
        <fgColor theme="5" tint="0.5999"/>
        <bgColor rgb="FFD9D9D9"/>
      </patternFill>
    </fill>
    <fill>
      <patternFill patternType="solid">
        <fgColor rgb="FFFFFFFF"/>
        <bgColor rgb="FFF7E4F1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theme="4"/>
      </left>
      <right/>
      <top style="thin">
        <color theme="4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7" tint="-0.25"/>
      </left>
      <right style="thin">
        <color theme="7" tint="-0.25"/>
      </right>
      <top style="thin">
        <color theme="7" tint="-0.25"/>
      </top>
      <bottom style="thin">
        <color theme="7" tint="-0.25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theme="4"/>
      </left>
      <right/>
      <top style="thin"/>
      <bottom style="thin">
        <color theme="4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7" tint="-0.25"/>
      </left>
      <right/>
      <top style="thin">
        <color theme="7" tint="-0.25"/>
      </top>
      <bottom style="thin">
        <color theme="7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7" tint="-0.25"/>
      </left>
      <right style="thin">
        <color theme="7" tint="-0.25"/>
      </right>
      <top style="thin">
        <color theme="7" tint="-0.25"/>
      </top>
      <bottom/>
      <diagonal/>
    </border>
    <border diagonalUp="false" diagonalDown="false">
      <left style="thin">
        <color theme="7" tint="-0.25"/>
      </left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2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ivot Table Corner" xfId="21"/>
    <cellStyle name="Pivot Table Value" xfId="22"/>
    <cellStyle name="Pivot Table Field" xfId="23"/>
    <cellStyle name="Pivot Table Category" xfId="24"/>
    <cellStyle name="Pivot Table Title" xfId="25"/>
    <cellStyle name="Pivot Table Result" xfId="26"/>
  </cellStyles>
  <dxfs count="5">
    <dxf>
      <fill>
        <patternFill patternType="solid">
          <fgColor rgb="FF0070C0"/>
          <bgColor rgb="FF000000"/>
        </patternFill>
      </fill>
    </dxf>
    <dxf>
      <fill>
        <patternFill patternType="solid">
          <fgColor rgb="FFDCEB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02B93"/>
          <bgColor rgb="FF000000"/>
        </patternFill>
      </fill>
    </dxf>
    <dxf>
      <fill>
        <patternFill patternType="solid">
          <fgColor rgb="FFF7E4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C0C0C0"/>
      <rgbColor rgb="FF808080"/>
      <rgbColor rgb="FF9999FF"/>
      <rgbColor rgb="FFA02B93"/>
      <rgbColor rgb="FFF7E4F1"/>
      <rgbColor rgb="FFDCEBF5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45F82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6C7AD"/>
      <rgbColor rgb="FF5353E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E350E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Habilidades de Gestión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axId val="29092343"/>
        <c:axId val="71420501"/>
      </c:radarChart>
      <c:catAx>
        <c:axId val="29092343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7e350e"/>
                </a:solidFill>
                <a:latin typeface="Aptos Narrow"/>
              </a:defRPr>
            </a:pPr>
          </a:p>
        </c:txPr>
        <c:crossAx val="71420501"/>
        <c:crosses val="autoZero"/>
        <c:auto val="1"/>
        <c:lblAlgn val="ctr"/>
        <c:lblOffset val="100"/>
        <c:noMultiLvlLbl val="0"/>
      </c:catAx>
      <c:valAx>
        <c:axId val="714205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9092343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Análisis y Diseño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4.5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</c:ser>
        <c:axId val="37528026"/>
        <c:axId val="49738032"/>
      </c:radarChart>
      <c:catAx>
        <c:axId val="37528026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738032"/>
        <c:crosses val="autoZero"/>
        <c:auto val="1"/>
        <c:lblAlgn val="ctr"/>
        <c:lblOffset val="100"/>
        <c:noMultiLvlLbl val="0"/>
      </c:catAx>
      <c:valAx>
        <c:axId val="497380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7528026"/>
        <c:crosses val="autoZero"/>
        <c:crossBetween val="midCat"/>
        <c:majorUnit val="0.5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Construcción y Gestión de proyectos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4.5</c:v>
                </c:pt>
                <c:pt idx="5">
                  <c:v>3.5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</c:ser>
        <c:axId val="49502582"/>
        <c:axId val="22596526"/>
      </c:radarChart>
      <c:catAx>
        <c:axId val="49502582"/>
        <c:scaling>
          <c:orientation val="maxMin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596526"/>
        <c:crosses val="autoZero"/>
        <c:auto val="1"/>
        <c:lblAlgn val="ctr"/>
        <c:lblOffset val="100"/>
        <c:noMultiLvlLbl val="0"/>
      </c:catAx>
      <c:valAx>
        <c:axId val="225965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502582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542880</xdr:colOff>
      <xdr:row>31</xdr:row>
      <xdr:rowOff>152280</xdr:rowOff>
    </xdr:from>
    <xdr:to>
      <xdr:col>15</xdr:col>
      <xdr:colOff>580680</xdr:colOff>
      <xdr:row>55</xdr:row>
      <xdr:rowOff>123480</xdr:rowOff>
    </xdr:to>
    <xdr:graphicFrame>
      <xdr:nvGraphicFramePr>
        <xdr:cNvPr id="0" name="Chart 1"/>
        <xdr:cNvGraphicFramePr/>
      </xdr:nvGraphicFramePr>
      <xdr:xfrm>
        <a:off x="9403200" y="5762520"/>
        <a:ext cx="7625880" cy="44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1</xdr:row>
      <xdr:rowOff>0</xdr:rowOff>
    </xdr:from>
    <xdr:to>
      <xdr:col>11</xdr:col>
      <xdr:colOff>161640</xdr:colOff>
      <xdr:row>29</xdr:row>
      <xdr:rowOff>133200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513000" y="181080"/>
          <a:ext cx="13061880" cy="5200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476280</xdr:colOff>
      <xdr:row>8</xdr:row>
      <xdr:rowOff>171360</xdr:rowOff>
    </xdr:from>
    <xdr:to>
      <xdr:col>16</xdr:col>
      <xdr:colOff>456840</xdr:colOff>
      <xdr:row>30</xdr:row>
      <xdr:rowOff>142560</xdr:rowOff>
    </xdr:to>
    <xdr:graphicFrame>
      <xdr:nvGraphicFramePr>
        <xdr:cNvPr id="2" name="Chart 1"/>
        <xdr:cNvGraphicFramePr/>
      </xdr:nvGraphicFramePr>
      <xdr:xfrm>
        <a:off x="7340760" y="1628640"/>
        <a:ext cx="9086400" cy="39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457200</xdr:colOff>
      <xdr:row>35</xdr:row>
      <xdr:rowOff>85680</xdr:rowOff>
    </xdr:from>
    <xdr:to>
      <xdr:col>16</xdr:col>
      <xdr:colOff>447480</xdr:colOff>
      <xdr:row>56</xdr:row>
      <xdr:rowOff>66240</xdr:rowOff>
    </xdr:to>
    <xdr:graphicFrame>
      <xdr:nvGraphicFramePr>
        <xdr:cNvPr id="3" name="Chart 2"/>
        <xdr:cNvGraphicFramePr/>
      </xdr:nvGraphicFramePr>
      <xdr:xfrm>
        <a:off x="7321680" y="6429240"/>
        <a:ext cx="9096120" cy="378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C12:F41" sheet="Matriz de priorización"/>
  </cacheSource>
  <cacheFields count="4">
    <cacheField name="Habilidad" numFmtId="0">
      <sharedItems count="29">
        <s v="Claridad verbal"/>
        <s v="Complementariedad"/>
        <s v="Compromiso"/>
        <s v="Comunicación en equipo"/>
        <s v="Comunicación no verbal y manejo del espacio"/>
        <s v="Conciencia del propio aprendizaje"/>
        <s v="Confianza"/>
        <s v="Control de Versiones utilizando Git y Github"/>
        <s v="Definición de Historias de Usuario"/>
        <s v="Desarrollo de interfaz de usuario utilizando HTML/CSS"/>
        <s v="Dis. de BD - Modelo Relacional"/>
        <s v="Dis. de pruebas utilizando caja negra"/>
        <s v="Dis. de software utilizando Diagramas de clase"/>
        <s v="Dis. de software utilizando Diagramas de secuencia"/>
        <s v="Estimación y priorización de Historias de Usuario"/>
        <s v="Estructuras de lenguajes de programación"/>
        <s v="Framework Django para crear aplicaciones web"/>
        <s v="Gestión de la información compartida"/>
        <s v="Gestión del tiempo"/>
        <s v="Implementación de pruebas unitarias"/>
        <s v="Interacción con la audiencia"/>
        <s v="Jira para gestión de proyectos"/>
        <s v="Lenguaje Gherkin para pruebas y criterios de aceptación"/>
        <s v="Plan de pruebas"/>
        <s v="Planificación"/>
        <s v="Proactividad en el aprendizaje"/>
        <s v="Pruebas funcionales automatizadas con Selenium"/>
        <s v="Python"/>
        <s v="Utilización de Figma para crear prototipos"/>
      </sharedItems>
    </cacheField>
    <cacheField name="Requiere" numFmtId="0">
      <sharedItems containsSemiMixedTypes="0" containsString="0" containsNumber="1" containsInteger="1" minValue="0" maxValue="5" count="3">
        <n v="0"/>
        <n v="3"/>
        <n v="5"/>
      </sharedItems>
    </cacheField>
    <cacheField name="Preparado" numFmtId="0">
      <sharedItems containsSemiMixedTypes="0" containsString="0" containsNumber="1" minValue="0" maxValue="5" count="5">
        <n v="0"/>
        <n v="3"/>
        <n v="4"/>
        <n v="4.5"/>
        <n v="5"/>
      </sharedItems>
    </cacheField>
    <cacheField name="Prioridad" numFmtId="0">
      <sharedItems count="4">
        <s v="Importante"/>
        <s v="OK"/>
        <s v="Puede esperar"/>
        <s v="Urgent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18"/>
    <x v="2"/>
    <x v="4"/>
    <x v="1"/>
  </r>
  <r>
    <x v="3"/>
    <x v="2"/>
    <x v="4"/>
    <x v="1"/>
  </r>
  <r>
    <x v="2"/>
    <x v="2"/>
    <x v="4"/>
    <x v="1"/>
  </r>
  <r>
    <x v="1"/>
    <x v="2"/>
    <x v="1"/>
    <x v="0"/>
  </r>
  <r>
    <x v="6"/>
    <x v="2"/>
    <x v="4"/>
    <x v="1"/>
  </r>
  <r>
    <x v="17"/>
    <x v="2"/>
    <x v="4"/>
    <x v="1"/>
  </r>
  <r>
    <x v="24"/>
    <x v="2"/>
    <x v="4"/>
    <x v="1"/>
  </r>
  <r>
    <x v="5"/>
    <x v="2"/>
    <x v="4"/>
    <x v="1"/>
  </r>
  <r>
    <x v="25"/>
    <x v="2"/>
    <x v="4"/>
    <x v="1"/>
  </r>
  <r>
    <x v="0"/>
    <x v="2"/>
    <x v="1"/>
    <x v="0"/>
  </r>
  <r>
    <x v="4"/>
    <x v="2"/>
    <x v="1"/>
    <x v="0"/>
  </r>
  <r>
    <x v="20"/>
    <x v="2"/>
    <x v="1"/>
    <x v="0"/>
  </r>
  <r>
    <x v="8"/>
    <x v="2"/>
    <x v="1"/>
    <x v="0"/>
  </r>
  <r>
    <x v="14"/>
    <x v="2"/>
    <x v="4"/>
    <x v="1"/>
  </r>
  <r>
    <x v="28"/>
    <x v="2"/>
    <x v="4"/>
    <x v="1"/>
  </r>
  <r>
    <x v="23"/>
    <x v="2"/>
    <x v="1"/>
    <x v="0"/>
  </r>
  <r>
    <x v="22"/>
    <x v="2"/>
    <x v="0"/>
    <x v="3"/>
  </r>
  <r>
    <x v="12"/>
    <x v="2"/>
    <x v="4"/>
    <x v="1"/>
  </r>
  <r>
    <x v="13"/>
    <x v="2"/>
    <x v="4"/>
    <x v="1"/>
  </r>
  <r>
    <x v="10"/>
    <x v="2"/>
    <x v="1"/>
    <x v="0"/>
  </r>
  <r>
    <x v="15"/>
    <x v="2"/>
    <x v="2"/>
    <x v="0"/>
  </r>
  <r>
    <x v="16"/>
    <x v="2"/>
    <x v="2"/>
    <x v="0"/>
  </r>
  <r>
    <x v="27"/>
    <x v="2"/>
    <x v="1"/>
    <x v="0"/>
  </r>
  <r>
    <x v="11"/>
    <x v="2"/>
    <x v="3"/>
    <x v="0"/>
  </r>
  <r>
    <x v="19"/>
    <x v="1"/>
    <x v="1"/>
    <x v="0"/>
  </r>
  <r>
    <x v="26"/>
    <x v="2"/>
    <x v="1"/>
    <x v="0"/>
  </r>
  <r>
    <x v="9"/>
    <x v="2"/>
    <x v="4"/>
    <x v="1"/>
  </r>
  <r>
    <x v="7"/>
    <x v="2"/>
    <x v="2"/>
    <x v="0"/>
  </r>
  <r>
    <x v="21"/>
    <x v="0"/>
    <x v="0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19" firstHeaderRow="1" firstDataRow="1" firstDataCol="2"/>
  <pivotFields count="4">
    <pivotField axis="axisRow" compact="0" showAll="0" defaultSubtotal="0" outline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showAll="0" outline="0"/>
    <pivotField compact="0" showAll="0" outline="0"/>
    <pivotField axis="axisRow" compact="0" showAll="0" defaultSubtotal="0" outline="0">
      <items count="4">
        <item x="0"/>
        <item h="1" x="1"/>
        <item h="1" x="2"/>
        <item x="3"/>
      </items>
    </pivotField>
  </pivotFields>
  <rowFields count="2">
    <field x="3"/>
    <field x="0"/>
  </row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C14:D22" headerRowCount="1" totalsRowCount="0" totalsRowShown="0">
  <autoFilter ref="C14:D22"/>
  <tableColumns count="2">
    <tableColumn id="1" name="Análisis y Diseño"/>
    <tableColumn id="2" name="Autoevaluación"/>
  </tableColumns>
</table>
</file>

<file path=xl/tables/table2.xml><?xml version="1.0" encoding="utf-8"?>
<table xmlns="http://schemas.openxmlformats.org/spreadsheetml/2006/main" id="2" name="Table2" displayName="Table2" ref="C40:D49" headerRowCount="1" totalsRowCount="0" totalsRowShown="0">
  <autoFilter ref="C40:D49"/>
  <tableColumns count="2">
    <tableColumn id="1" name="Construcción y Gestión de proyectos"/>
    <tableColumn id="2" name="Autoevalu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154.56"/>
  </cols>
  <sheetData>
    <row r="1" customFormat="false" ht="14.25" hidden="false" customHeight="false" outlineLevel="0" collapsed="false">
      <c r="A1" s="1"/>
      <c r="B1" s="2"/>
    </row>
    <row r="2" customFormat="false" ht="47.25" hidden="false" customHeight="true" outlineLevel="0" collapsed="false">
      <c r="B2" s="3" t="s">
        <v>0</v>
      </c>
      <c r="D2" s="4"/>
      <c r="E2" s="4"/>
      <c r="F2" s="4"/>
    </row>
    <row r="4" customFormat="false" ht="45" hidden="false" customHeight="true" outlineLevel="0" collapsed="false">
      <c r="B4" s="5" t="s">
        <v>1</v>
      </c>
    </row>
    <row r="5" customFormat="false" ht="15" hidden="false" customHeight="true" outlineLevel="0" collapsed="false">
      <c r="B5" s="5"/>
    </row>
    <row r="6" customFormat="false" ht="15" hidden="false" customHeight="true" outlineLevel="0" collapsed="false">
      <c r="B6" s="6" t="s">
        <v>2</v>
      </c>
    </row>
    <row r="7" customFormat="false" ht="33.75" hidden="false" customHeight="true" outlineLevel="0" collapsed="false">
      <c r="B7" s="6" t="s">
        <v>3</v>
      </c>
      <c r="C7" s="7"/>
    </row>
    <row r="8" customFormat="false" ht="28.5" hidden="false" customHeight="true" outlineLevel="0" collapsed="false">
      <c r="B8" s="6" t="s">
        <v>4</v>
      </c>
      <c r="C8" s="7"/>
    </row>
    <row r="9" customFormat="false" ht="28.5" hidden="false" customHeight="true" outlineLevel="0" collapsed="false">
      <c r="B9" s="6" t="s">
        <v>5</v>
      </c>
      <c r="C9" s="7"/>
    </row>
    <row r="10" customFormat="false" ht="15" hidden="false" customHeight="true" outlineLevel="0" collapsed="false">
      <c r="B10" s="6" t="s">
        <v>6</v>
      </c>
    </row>
    <row r="11" customFormat="false" ht="15" hidden="false" customHeight="true" outlineLevel="0" collapsed="false">
      <c r="B11" s="8"/>
    </row>
    <row r="12" customFormat="false" ht="30" hidden="false" customHeight="true" outlineLevel="0" collapsed="false">
      <c r="B12" s="5" t="s">
        <v>7</v>
      </c>
    </row>
    <row r="13" customFormat="false" ht="15" hidden="false" customHeight="true" outlineLevel="0" collapsed="false">
      <c r="B13" s="8"/>
    </row>
    <row r="14" customFormat="false" ht="15" hidden="false" customHeight="true" outlineLevel="0" collapsed="false">
      <c r="B14" s="9"/>
    </row>
    <row r="15" customFormat="false" ht="15" hidden="false" customHeight="true" outlineLevel="0" collapsed="false">
      <c r="B15" s="9"/>
    </row>
    <row r="16" customFormat="false" ht="15" hidden="false" customHeight="true" outlineLevel="0" collapsed="false">
      <c r="B16" s="9"/>
    </row>
    <row r="17" customFormat="false" ht="15" hidden="false" customHeight="true" outlineLevel="0" collapsed="false">
      <c r="B17" s="9"/>
    </row>
    <row r="18" customFormat="false" ht="15" hidden="false" customHeight="true" outlineLevel="0" collapsed="false">
      <c r="B18" s="9"/>
    </row>
    <row r="19" customFormat="false" ht="15" hidden="false" customHeight="true" outlineLevel="0" collapsed="false">
      <c r="B19" s="8"/>
    </row>
    <row r="21" customFormat="false" ht="14.25" hidden="false" customHeight="false" outlineLevel="0" collapsed="false">
      <c r="B21" s="1" t="s">
        <v>8</v>
      </c>
    </row>
    <row r="52" customFormat="false" ht="14.25" hidden="false" customHeight="false" outlineLevel="0" collapsed="false">
      <c r="A52" s="1" t="s">
        <v>8</v>
      </c>
      <c r="B52" s="2" t="s">
        <v>8</v>
      </c>
    </row>
  </sheetData>
  <sheetProtection algorithmName="SHA-512" hashValue="/dC5MFZ8ez1P0Nz6pIRKlVwX8t1Zvq7WWOP8tFgmebyLmYWkWbIGWXeiUwa3q2LiAQEKg67VSjp2QapfWPfRBA==" saltValue="eGkmRgQgT4sFTmV4IphdyQ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2:Q5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D56" activeCellId="0" sqref="D5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5.56"/>
    <col collapsed="false" customWidth="true" hidden="false" outlineLevel="0" max="2" min="2" style="0" width="5.67"/>
    <col collapsed="false" customWidth="true" hidden="false" outlineLevel="0" max="3" min="3" style="0" width="31.89"/>
    <col collapsed="false" customWidth="true" hidden="false" outlineLevel="0" max="4" min="4" style="0" width="41.56"/>
    <col collapsed="false" customWidth="true" hidden="false" outlineLevel="0" max="5" min="5" style="0" width="15"/>
  </cols>
  <sheetData>
    <row r="32" customFormat="false" ht="15" hidden="false" customHeight="true" outlineLevel="0" collapsed="false">
      <c r="B32" s="10"/>
      <c r="C32" s="11" t="s">
        <v>9</v>
      </c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14.25" hidden="false" customHeight="false" outlineLevel="0" collapsed="false">
      <c r="B33" s="10"/>
      <c r="C33" s="11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14.25" hidden="false" customHeight="false" outlineLevel="0" collapsed="false">
      <c r="B34" s="10"/>
      <c r="C34" s="11"/>
      <c r="D34" s="11"/>
      <c r="E34" s="1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customFormat="false" ht="14.25" hidden="false" customHeight="false" outlineLevel="0" collapsed="false">
      <c r="B35" s="10"/>
      <c r="C35" s="11"/>
      <c r="D35" s="11"/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customFormat="false" ht="14.25" hidden="false" customHeight="false" outlineLevel="0" collapsed="false">
      <c r="B36" s="10"/>
      <c r="C36" s="11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14.25" hidden="false" customHeight="false" outlineLevel="0" collapsed="false">
      <c r="B37" s="10"/>
      <c r="C37" s="11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customFormat="false" ht="14.25" hidden="false" customHeight="false" outlineLevel="0" collapsed="false">
      <c r="B38" s="10"/>
      <c r="C38" s="11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18.75" hidden="false" customHeight="true" outlineLevel="0" collapsed="false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customFormat="false" ht="14.25" hidden="false" customHeight="false" outlineLevel="0" collapsed="false">
      <c r="B40" s="10"/>
      <c r="C40" s="12" t="s">
        <v>10</v>
      </c>
      <c r="D40" s="12"/>
      <c r="E40" s="12" t="s">
        <v>11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customFormat="false" ht="14.25" hidden="false" customHeight="false" outlineLevel="0" collapsed="false">
      <c r="B41" s="10"/>
      <c r="C41" s="13" t="s">
        <v>12</v>
      </c>
      <c r="D41" s="14" t="s">
        <v>13</v>
      </c>
      <c r="E41" s="15" t="n">
        <v>5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customFormat="false" ht="14.25" hidden="false" customHeight="false" outlineLevel="0" collapsed="false">
      <c r="B42" s="10"/>
      <c r="C42" s="13"/>
      <c r="D42" s="14" t="s">
        <v>14</v>
      </c>
      <c r="E42" s="15" t="n">
        <v>4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customFormat="false" ht="14.25" hidden="false" customHeight="false" outlineLevel="0" collapsed="false">
      <c r="B43" s="10"/>
      <c r="C43" s="13"/>
      <c r="D43" s="14" t="s">
        <v>15</v>
      </c>
      <c r="E43" s="15" t="n">
        <v>5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customFormat="false" ht="14.25" hidden="false" customHeight="false" outlineLevel="0" collapsed="false">
      <c r="B44" s="10"/>
      <c r="C44" s="13"/>
      <c r="D44" s="14" t="s">
        <v>16</v>
      </c>
      <c r="E44" s="15" t="n">
        <v>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customFormat="false" ht="14.25" hidden="false" customHeight="false" outlineLevel="0" collapsed="false">
      <c r="B45" s="10"/>
      <c r="C45" s="13"/>
      <c r="D45" s="14" t="s">
        <v>17</v>
      </c>
      <c r="E45" s="15" t="n">
        <v>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customFormat="false" ht="18.75" hidden="false" customHeight="true" outlineLevel="0" collapsed="false">
      <c r="B46" s="10"/>
      <c r="C46" s="13"/>
      <c r="D46" s="14" t="s">
        <v>18</v>
      </c>
      <c r="E46" s="15" t="n">
        <v>4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14.25" hidden="false" customHeight="false" outlineLevel="0" collapsed="false">
      <c r="B47" s="10"/>
      <c r="C47" s="13"/>
      <c r="D47" s="14" t="s">
        <v>19</v>
      </c>
      <c r="E47" s="15" t="n">
        <v>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customFormat="false" ht="18.75" hidden="false" customHeight="true" outlineLevel="0" collapsed="false">
      <c r="B48" s="10"/>
      <c r="C48" s="13" t="s">
        <v>20</v>
      </c>
      <c r="D48" s="16" t="s">
        <v>21</v>
      </c>
      <c r="E48" s="15" t="n">
        <v>5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customFormat="false" ht="14.25" hidden="false" customHeight="false" outlineLevel="0" collapsed="false">
      <c r="B49" s="10"/>
      <c r="C49" s="13"/>
      <c r="D49" s="16" t="s">
        <v>22</v>
      </c>
      <c r="E49" s="15" t="n">
        <v>5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customFormat="false" ht="14.25" hidden="false" customHeight="false" outlineLevel="0" collapsed="false">
      <c r="B50" s="10"/>
      <c r="C50" s="13" t="s">
        <v>23</v>
      </c>
      <c r="D50" s="16" t="s">
        <v>24</v>
      </c>
      <c r="E50" s="15" t="n">
        <v>4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4.25" hidden="false" customHeight="false" outlineLevel="0" collapsed="false">
      <c r="B51" s="10"/>
      <c r="C51" s="13"/>
      <c r="D51" s="16" t="s">
        <v>25</v>
      </c>
      <c r="E51" s="15" t="n">
        <v>4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customFormat="false" ht="14.25" hidden="false" customHeight="false" outlineLevel="0" collapsed="false">
      <c r="B52" s="10"/>
      <c r="C52" s="13"/>
      <c r="D52" s="16" t="s">
        <v>26</v>
      </c>
      <c r="E52" s="15" t="n">
        <v>4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customFormat="false" ht="14.25" hidden="false" customHeight="false" outlineLevel="0" collapsed="false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customFormat="false" ht="14.25" hidden="false" customHeight="false" outlineLevel="0" collapsed="false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customFormat="false" ht="14.25" hidden="false" customHeight="false" outlineLevel="0" collapsed="false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customFormat="false" ht="14.25" hidden="false" customHeight="false" outlineLevel="0" collapsed="false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customFormat="false" ht="14.25" hidden="false" customHeight="false" outlineLevel="0" collapsed="false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</sheetData>
  <sheetProtection algorithmName="SHA-512" hashValue="lBAdQV7raAp9plryVsWD9S5+Kh0tGPtGNiABW2O7l+ao2/4aEckKPfWtj0yvH2TuXov4cXdRHxW9zU3Y+5s33g==" saltValue="VDhkPUafJCTjYOOrN5tPcQ==" spinCount="100000" sheet="true" objects="true" scenarios="true"/>
  <mergeCells count="4">
    <mergeCell ref="C32:E38"/>
    <mergeCell ref="C41:C47"/>
    <mergeCell ref="C48:C49"/>
    <mergeCell ref="C50:C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7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E49" activeCellId="0" sqref="E4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.44"/>
    <col collapsed="false" customWidth="true" hidden="false" outlineLevel="0" max="2" min="2" style="0" width="5.44"/>
    <col collapsed="false" customWidth="true" hidden="false" outlineLevel="0" max="3" min="3" style="0" width="50"/>
    <col collapsed="false" customWidth="true" hidden="false" outlineLevel="0" max="4" min="4" style="0" width="17.33"/>
  </cols>
  <sheetData>
    <row r="2" customFormat="false" ht="15" hidden="false" customHeight="true" outlineLevel="0" collapsed="false">
      <c r="B2" s="17" t="s">
        <v>9</v>
      </c>
      <c r="C2" s="17"/>
      <c r="D2" s="17"/>
      <c r="E2" s="18"/>
    </row>
    <row r="3" customFormat="false" ht="14.25" hidden="false" customHeight="false" outlineLevel="0" collapsed="false">
      <c r="B3" s="17"/>
      <c r="C3" s="17"/>
      <c r="D3" s="17"/>
      <c r="E3" s="18"/>
    </row>
    <row r="4" customFormat="false" ht="14.25" hidden="false" customHeight="false" outlineLevel="0" collapsed="false">
      <c r="B4" s="17"/>
      <c r="C4" s="17"/>
      <c r="D4" s="17"/>
      <c r="E4" s="18"/>
    </row>
    <row r="5" customFormat="false" ht="14.25" hidden="false" customHeight="false" outlineLevel="0" collapsed="false">
      <c r="B5" s="17"/>
      <c r="C5" s="17"/>
      <c r="D5" s="17"/>
      <c r="E5" s="18"/>
    </row>
    <row r="6" customFormat="false" ht="14.25" hidden="false" customHeight="false" outlineLevel="0" collapsed="false">
      <c r="B6" s="17"/>
      <c r="C6" s="17"/>
      <c r="D6" s="17"/>
      <c r="E6" s="18"/>
    </row>
    <row r="7" customFormat="false" ht="14.25" hidden="false" customHeight="false" outlineLevel="0" collapsed="false">
      <c r="B7" s="17"/>
      <c r="C7" s="17"/>
      <c r="D7" s="17"/>
      <c r="E7" s="18"/>
    </row>
    <row r="8" customFormat="false" ht="14.25" hidden="false" customHeight="false" outlineLevel="0" collapsed="false">
      <c r="B8" s="17"/>
      <c r="C8" s="17"/>
      <c r="D8" s="17"/>
      <c r="E8" s="18"/>
    </row>
    <row r="9" customFormat="false" ht="14.25" hidden="false" customHeight="false" outlineLevel="0" collapsed="false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customFormat="false" ht="14.25" hidden="false" customHeight="false" outlineLevel="0" collapsed="false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customFormat="false" ht="14.25" hidden="false" customHeight="false" outlineLevel="0" collapsed="false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customFormat="false" ht="14.25" hidden="false" customHeight="false" outlineLevel="0" collapsed="false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customFormat="false" ht="14.25" hidden="false" customHeight="false" outlineLevel="0" collapsed="false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customFormat="false" ht="14.25" hidden="false" customHeight="false" outlineLevel="0" collapsed="false">
      <c r="B14" s="19"/>
      <c r="C14" s="20" t="s">
        <v>27</v>
      </c>
      <c r="D14" s="20" t="s">
        <v>11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customFormat="false" ht="14.25" hidden="false" customHeight="false" outlineLevel="0" collapsed="false">
      <c r="B15" s="19"/>
      <c r="C15" s="21" t="s">
        <v>28</v>
      </c>
      <c r="D15" s="22" t="n">
        <v>4.5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customFormat="false" ht="14.25" hidden="false" customHeight="false" outlineLevel="0" collapsed="false">
      <c r="B16" s="19"/>
      <c r="C16" s="21" t="s">
        <v>29</v>
      </c>
      <c r="D16" s="22" t="n">
        <v>4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customFormat="false" ht="14.25" hidden="false" customHeight="false" outlineLevel="0" collapsed="false">
      <c r="B17" s="19"/>
      <c r="C17" s="21" t="s">
        <v>30</v>
      </c>
      <c r="D17" s="22" t="n">
        <v>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customFormat="false" ht="14.25" hidden="false" customHeight="false" outlineLevel="0" collapsed="false">
      <c r="B18" s="19"/>
      <c r="C18" s="21" t="s">
        <v>31</v>
      </c>
      <c r="D18" s="22" t="n">
        <v>4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customFormat="false" ht="14.25" hidden="false" customHeight="false" outlineLevel="0" collapsed="false">
      <c r="B19" s="19"/>
      <c r="C19" s="21" t="s">
        <v>32</v>
      </c>
      <c r="D19" s="22" t="n">
        <v>4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customFormat="false" ht="14.25" hidden="false" customHeight="false" outlineLevel="0" collapsed="false">
      <c r="B20" s="19"/>
      <c r="C20" s="21" t="s">
        <v>33</v>
      </c>
      <c r="D20" s="22" t="n">
        <v>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customFormat="false" ht="14.25" hidden="false" customHeight="false" outlineLevel="0" collapsed="false">
      <c r="B21" s="19"/>
      <c r="C21" s="21" t="s">
        <v>34</v>
      </c>
      <c r="D21" s="22" t="n">
        <v>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customFormat="false" ht="14.25" hidden="false" customHeight="false" outlineLevel="0" collapsed="false">
      <c r="B22" s="19"/>
      <c r="C22" s="21" t="s">
        <v>35</v>
      </c>
      <c r="D22" s="22" t="n">
        <v>4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customFormat="false" ht="14.25" hidden="false" customHeight="false" outlineLevel="0" collapsed="false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customFormat="false" ht="14.25" hidden="false" customHeight="false" outlineLevel="0" collapsed="false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customFormat="false" ht="14.25" hidden="false" customHeight="false" outlineLevel="0" collapsed="false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customFormat="false" ht="14.25" hidden="false" customHeight="false" outlineLevel="0" collapsed="false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customFormat="false" ht="14.25" hidden="false" customHeight="false" outlineLevel="0" collapsed="false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customFormat="false" ht="14.25" hidden="false" customHeight="false" outlineLevel="0" collapsed="false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customFormat="false" ht="14.25" hidden="false" customHeight="false" outlineLevel="0" collapsed="false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customFormat="false" ht="14.25" hidden="false" customHeight="false" outlineLevel="0" collapsed="false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customFormat="false" ht="14.25" hidden="false" customHeight="false" outlineLevel="0" collapsed="false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customFormat="false" ht="14.25" hidden="false" customHeight="false" outlineLevel="0" collapsed="false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6" customFormat="false" ht="14.25" hidden="false" customHeight="false" outlineLevel="0" collapsed="false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customFormat="false" ht="14.25" hidden="false" customHeight="false" outlineLevel="0" collapsed="false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customFormat="false" ht="14.25" hidden="false" customHeight="false" outlineLevel="0" collapsed="false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customFormat="false" ht="14.25" hidden="false" customHeight="false" outlineLevel="0" collapsed="false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customFormat="false" ht="14.25" hidden="false" customHeight="false" outlineLevel="0" collapsed="false">
      <c r="B40" s="23"/>
      <c r="C40" s="24" t="s">
        <v>36</v>
      </c>
      <c r="D40" s="24" t="s">
        <v>11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customFormat="false" ht="14.25" hidden="false" customHeight="false" outlineLevel="0" collapsed="false">
      <c r="B41" s="23"/>
      <c r="C41" s="25" t="s">
        <v>37</v>
      </c>
      <c r="D41" s="26" t="n">
        <v>4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customFormat="false" ht="14.25" hidden="false" customHeight="false" outlineLevel="0" collapsed="false">
      <c r="B42" s="23"/>
      <c r="C42" s="25" t="s">
        <v>38</v>
      </c>
      <c r="D42" s="26" t="n">
        <v>4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customFormat="false" ht="14.25" hidden="false" customHeight="false" outlineLevel="0" collapsed="false">
      <c r="B43" s="23"/>
      <c r="C43" s="25" t="s">
        <v>39</v>
      </c>
      <c r="D43" s="26" t="n">
        <v>4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customFormat="false" ht="14.25" hidden="false" customHeight="false" outlineLevel="0" collapsed="false">
      <c r="B44" s="23"/>
      <c r="C44" s="25" t="s">
        <v>40</v>
      </c>
      <c r="D44" s="26" t="n">
        <v>5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customFormat="false" ht="14.25" hidden="false" customHeight="false" outlineLevel="0" collapsed="false">
      <c r="B45" s="23"/>
      <c r="C45" s="25" t="s">
        <v>41</v>
      </c>
      <c r="D45" s="26" t="n">
        <v>4.5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customFormat="false" ht="14.25" hidden="false" customHeight="false" outlineLevel="0" collapsed="false">
      <c r="B46" s="23"/>
      <c r="C46" s="25" t="s">
        <v>42</v>
      </c>
      <c r="D46" s="26" t="n">
        <v>3.5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customFormat="false" ht="14.25" hidden="false" customHeight="false" outlineLevel="0" collapsed="false">
      <c r="B47" s="23"/>
      <c r="C47" s="25" t="s">
        <v>43</v>
      </c>
      <c r="D47" s="26" t="n">
        <v>5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customFormat="false" ht="14.25" hidden="false" customHeight="false" outlineLevel="0" collapsed="false">
      <c r="B48" s="23"/>
      <c r="C48" s="25" t="s">
        <v>44</v>
      </c>
      <c r="D48" s="26" t="n">
        <v>5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customFormat="false" ht="14.25" hidden="false" customHeight="false" outlineLevel="0" collapsed="false">
      <c r="B49" s="23"/>
      <c r="C49" s="25" t="s">
        <v>45</v>
      </c>
      <c r="D49" s="26" t="n">
        <v>4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customFormat="false" ht="14.25" hidden="false" customHeight="false" outlineLevel="0" collapsed="false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customFormat="false" ht="14.25" hidden="false" customHeight="false" outlineLevel="0" collapsed="false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customFormat="false" ht="14.25" hidden="false" customHeight="false" outlineLevel="0" collapsed="false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customFormat="false" ht="14.25" hidden="false" customHeight="false" outlineLevel="0" collapsed="false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customFormat="false" ht="14.25" hidden="false" customHeight="false" outlineLevel="0" collapsed="false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customFormat="false" ht="14.25" hidden="false" customHeight="false" outlineLevel="0" collapsed="false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customFormat="false" ht="14.25" hidden="false" customHeight="false" outlineLevel="0" collapsed="false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customFormat="false" ht="14.25" hidden="false" customHeight="false" outlineLevel="0" collapsed="false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</sheetData>
  <sheetProtection algorithmName="SHA-512" hashValue="hsClExoBD5emxlx7HMP5LGV55fh6rkcvdnmQZjxtcWrWnBXe7qFKcGRr/XsO9y/eukaXQZDrh+OdJpLpwpKNcA==" saltValue="9B5B+JKPsdVFcteFsRiMJA==" spinCount="100000" sheet="true" objects="true" scenarios="true"/>
  <mergeCells count="1">
    <mergeCell ref="B2:D8"/>
  </mergeCells>
  <dataValidations count="2">
    <dataValidation allowBlank="true" errorStyle="stop" operator="between" showDropDown="false" showErrorMessage="true" showInputMessage="true" sqref="D15:D22" type="decimal">
      <formula1>0</formula1>
      <formula2>5</formula2>
    </dataValidation>
    <dataValidation allowBlank="true" errorStyle="stop" errorTitle="La evaluación mínima es 0 y máxima es 5" operator="between" showDropDown="false" showErrorMessage="true" showInputMessage="true" sqref="D41:D49" type="decimal">
      <formula1>0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D42" activeCellId="0" sqref="D42"/>
    </sheetView>
  </sheetViews>
  <sheetFormatPr defaultColWidth="8.5390625" defaultRowHeight="14.25" zeroHeight="false" outlineLevelRow="0" outlineLevelCol="0"/>
  <cols>
    <col collapsed="false" customWidth="true" hidden="false" outlineLevel="0" max="2" min="2" style="0" width="31.89"/>
    <col collapsed="false" customWidth="true" hidden="false" outlineLevel="0" max="3" min="3" style="0" width="46.89"/>
    <col collapsed="false" customWidth="true" hidden="false" outlineLevel="0" max="4" min="4" style="0" width="24.88"/>
    <col collapsed="false" customWidth="true" hidden="false" outlineLevel="0" max="5" min="5" style="0" width="18.56"/>
    <col collapsed="false" customWidth="true" hidden="false" outlineLevel="0" max="6" min="6" style="0" width="19.66"/>
  </cols>
  <sheetData>
    <row r="2" customFormat="false" ht="36.75" hidden="false" customHeight="true" outlineLevel="0" collapsed="false">
      <c r="C2" s="27" t="s">
        <v>46</v>
      </c>
      <c r="D2" s="27"/>
    </row>
    <row r="4" customFormat="false" ht="41.25" hidden="false" customHeight="true" outlineLevel="0" collapsed="false">
      <c r="B4" s="28" t="s">
        <v>47</v>
      </c>
      <c r="C4" s="29" t="s">
        <v>48</v>
      </c>
      <c r="F4" s="30"/>
    </row>
    <row r="5" customFormat="false" ht="41.25" hidden="false" customHeight="true" outlineLevel="0" collapsed="false">
      <c r="B5" s="28" t="s">
        <v>49</v>
      </c>
      <c r="C5" s="29" t="s">
        <v>50</v>
      </c>
    </row>
    <row r="6" customFormat="false" ht="69" hidden="false" customHeight="true" outlineLevel="0" collapsed="false">
      <c r="B6" s="28" t="s">
        <v>51</v>
      </c>
      <c r="C6" s="29" t="s">
        <v>52</v>
      </c>
    </row>
    <row r="7" customFormat="false" ht="14.25" hidden="false" customHeight="false" outlineLevel="0" collapsed="false">
      <c r="B7" s="28"/>
      <c r="C7" s="29"/>
    </row>
    <row r="8" customFormat="false" ht="14.25" hidden="false" customHeight="false" outlineLevel="0" collapsed="false">
      <c r="B8" s="28"/>
      <c r="C8" s="29"/>
    </row>
    <row r="9" customFormat="false" ht="14.25" hidden="false" customHeight="false" outlineLevel="0" collapsed="false">
      <c r="B9" s="28"/>
      <c r="C9" s="31"/>
      <c r="D9" s="32" t="s">
        <v>53</v>
      </c>
      <c r="E9" s="32"/>
    </row>
    <row r="10" customFormat="false" ht="26.25" hidden="false" customHeight="true" outlineLevel="0" collapsed="false">
      <c r="B10" s="28"/>
      <c r="C10" s="28"/>
      <c r="D10" s="33" t="s">
        <v>47</v>
      </c>
      <c r="E10" s="33" t="s">
        <v>49</v>
      </c>
      <c r="F10" s="33" t="s">
        <v>51</v>
      </c>
    </row>
    <row r="11" customFormat="false" ht="14.25" hidden="false" customHeight="false" outlineLevel="0" collapsed="false">
      <c r="B11" s="28"/>
      <c r="C11" s="28"/>
    </row>
    <row r="12" customFormat="false" ht="14.25" hidden="false" customHeight="false" outlineLevel="0" collapsed="false">
      <c r="B12" s="28"/>
      <c r="C12" s="34" t="s">
        <v>54</v>
      </c>
      <c r="D12" s="35" t="s">
        <v>55</v>
      </c>
      <c r="E12" s="35" t="s">
        <v>56</v>
      </c>
      <c r="F12" s="35" t="s">
        <v>51</v>
      </c>
    </row>
    <row r="13" customFormat="false" ht="14.25" hidden="false" customHeight="false" outlineLevel="0" collapsed="false">
      <c r="B13" s="36" t="s">
        <v>12</v>
      </c>
      <c r="C13" s="37" t="s">
        <v>13</v>
      </c>
      <c r="D13" s="38" t="n">
        <v>5</v>
      </c>
      <c r="E13" s="38" t="n">
        <v>5</v>
      </c>
      <c r="F13" s="38" t="str">
        <f aca="false">IF(E13=5,"OK",IF(D13=0,"Puede esperar",IF(AND(D13=5,E13=0),"Urgente","Importante")))</f>
        <v>OK</v>
      </c>
    </row>
    <row r="14" customFormat="false" ht="14.25" hidden="false" customHeight="false" outlineLevel="0" collapsed="false">
      <c r="B14" s="36"/>
      <c r="C14" s="37" t="s">
        <v>14</v>
      </c>
      <c r="D14" s="38" t="n">
        <v>5</v>
      </c>
      <c r="E14" s="38" t="n">
        <v>5</v>
      </c>
      <c r="F14" s="38" t="str">
        <f aca="false">IF(E14=5,"OK",IF(D14=0,"Puede esperar",IF(AND(D14=5,E14=0),"Urgente","Importante")))</f>
        <v>OK</v>
      </c>
    </row>
    <row r="15" customFormat="false" ht="14.25" hidden="false" customHeight="false" outlineLevel="0" collapsed="false">
      <c r="B15" s="36"/>
      <c r="C15" s="37" t="s">
        <v>15</v>
      </c>
      <c r="D15" s="38" t="n">
        <v>5</v>
      </c>
      <c r="E15" s="38" t="n">
        <v>5</v>
      </c>
      <c r="F15" s="38" t="str">
        <f aca="false">IF(E15=5,"OK",IF(D15=0,"Puede esperar",IF(AND(D15=5,E15=0),"Urgente","Importante")))</f>
        <v>OK</v>
      </c>
    </row>
    <row r="16" customFormat="false" ht="14.25" hidden="false" customHeight="false" outlineLevel="0" collapsed="false">
      <c r="B16" s="36"/>
      <c r="C16" s="37" t="s">
        <v>16</v>
      </c>
      <c r="D16" s="38" t="n">
        <v>5</v>
      </c>
      <c r="E16" s="38" t="n">
        <v>3</v>
      </c>
      <c r="F16" s="38" t="str">
        <f aca="false">IF(E16=5,"OK",IF(D16=0,"Puede esperar",IF(AND(D16=5,E16=0),"Urgente","Importante")))</f>
        <v>Importante</v>
      </c>
    </row>
    <row r="17" customFormat="false" ht="14.25" hidden="false" customHeight="false" outlineLevel="0" collapsed="false">
      <c r="B17" s="36"/>
      <c r="C17" s="37" t="s">
        <v>17</v>
      </c>
      <c r="D17" s="38" t="n">
        <v>5</v>
      </c>
      <c r="E17" s="38" t="n">
        <v>5</v>
      </c>
      <c r="F17" s="38" t="str">
        <f aca="false">IF(E17=5,"OK",IF(D17=0,"Puede esperar",IF(AND(D17=5,E17=0),"Urgente","Importante")))</f>
        <v>OK</v>
      </c>
    </row>
    <row r="18" customFormat="false" ht="14.25" hidden="false" customHeight="false" outlineLevel="0" collapsed="false">
      <c r="B18" s="36"/>
      <c r="C18" s="37" t="s">
        <v>18</v>
      </c>
      <c r="D18" s="38" t="n">
        <v>5</v>
      </c>
      <c r="E18" s="38" t="n">
        <v>5</v>
      </c>
      <c r="F18" s="38" t="str">
        <f aca="false">IF(E18=5,"OK",IF(D18=0,"Puede esperar",IF(AND(D18=5,E18=0),"Urgente","Importante")))</f>
        <v>OK</v>
      </c>
    </row>
    <row r="19" customFormat="false" ht="14.25" hidden="false" customHeight="false" outlineLevel="0" collapsed="false">
      <c r="B19" s="36"/>
      <c r="C19" s="37" t="s">
        <v>19</v>
      </c>
      <c r="D19" s="38" t="n">
        <v>5</v>
      </c>
      <c r="E19" s="38" t="n">
        <v>5</v>
      </c>
      <c r="F19" s="38" t="str">
        <f aca="false">IF(E19=5,"OK",IF(D19=0,"Puede esperar",IF(AND(D19=5,E19=0),"Urgente","Importante")))</f>
        <v>OK</v>
      </c>
    </row>
    <row r="20" customFormat="false" ht="14.25" hidden="false" customHeight="false" outlineLevel="0" collapsed="false">
      <c r="B20" s="39" t="s">
        <v>20</v>
      </c>
      <c r="C20" s="40" t="s">
        <v>21</v>
      </c>
      <c r="D20" s="38" t="n">
        <v>5</v>
      </c>
      <c r="E20" s="38" t="n">
        <v>5</v>
      </c>
      <c r="F20" s="38" t="str">
        <f aca="false">IF(E20=5,"OK",IF(D20=0,"Puede esperar",IF(AND(D20=5,E20=0),"Urgente","Importante")))</f>
        <v>OK</v>
      </c>
    </row>
    <row r="21" customFormat="false" ht="14.25" hidden="false" customHeight="false" outlineLevel="0" collapsed="false">
      <c r="B21" s="39"/>
      <c r="C21" s="40" t="s">
        <v>22</v>
      </c>
      <c r="D21" s="38" t="n">
        <v>5</v>
      </c>
      <c r="E21" s="38" t="n">
        <v>5</v>
      </c>
      <c r="F21" s="38" t="str">
        <f aca="false">IF(E21=5,"OK",IF(D21=0,"Puede esperar",IF(AND(D21=5,E21=0),"Urgente","Importante")))</f>
        <v>OK</v>
      </c>
    </row>
    <row r="22" customFormat="false" ht="14.25" hidden="false" customHeight="false" outlineLevel="0" collapsed="false">
      <c r="B22" s="36" t="s">
        <v>23</v>
      </c>
      <c r="C22" s="40" t="s">
        <v>24</v>
      </c>
      <c r="D22" s="38" t="n">
        <v>5</v>
      </c>
      <c r="E22" s="38" t="n">
        <v>3</v>
      </c>
      <c r="F22" s="38" t="str">
        <f aca="false">IF(E22=5,"OK",IF(D22=0,"Puede esperar",IF(AND(D22=5,E22=0),"Urgente","Importante")))</f>
        <v>Importante</v>
      </c>
    </row>
    <row r="23" customFormat="false" ht="14.25" hidden="false" customHeight="false" outlineLevel="0" collapsed="false">
      <c r="B23" s="36"/>
      <c r="C23" s="40" t="s">
        <v>25</v>
      </c>
      <c r="D23" s="38" t="n">
        <v>5</v>
      </c>
      <c r="E23" s="38" t="n">
        <v>3</v>
      </c>
      <c r="F23" s="38" t="str">
        <f aca="false">IF(E23=5,"OK",IF(D23=0,"Puede esperar",IF(AND(D23=5,E23=0),"Urgente","Importante")))</f>
        <v>Importante</v>
      </c>
    </row>
    <row r="24" customFormat="false" ht="14.25" hidden="false" customHeight="false" outlineLevel="0" collapsed="false">
      <c r="B24" s="36"/>
      <c r="C24" s="40" t="s">
        <v>26</v>
      </c>
      <c r="D24" s="38" t="n">
        <v>5</v>
      </c>
      <c r="E24" s="38" t="n">
        <v>3</v>
      </c>
      <c r="F24" s="38" t="str">
        <f aca="false">IF(E24=5,"OK",IF(D24=0,"Puede esperar",IF(AND(D24=5,E24=0),"Urgente","Importante")))</f>
        <v>Importante</v>
      </c>
    </row>
    <row r="25" customFormat="false" ht="14.25" hidden="false" customHeight="true" outlineLevel="0" collapsed="false">
      <c r="B25" s="41" t="s">
        <v>27</v>
      </c>
      <c r="C25" s="42" t="s">
        <v>28</v>
      </c>
      <c r="D25" s="38" t="n">
        <v>5</v>
      </c>
      <c r="E25" s="38" t="n">
        <v>3</v>
      </c>
      <c r="F25" s="38" t="str">
        <f aca="false">IF(E25=5,"OK",IF(D25=0,"Puede esperar",IF(AND(D25=5,E25=0),"Urgente","Importante")))</f>
        <v>Importante</v>
      </c>
    </row>
    <row r="26" customFormat="false" ht="14.25" hidden="false" customHeight="false" outlineLevel="0" collapsed="false">
      <c r="B26" s="41"/>
      <c r="C26" s="42" t="s">
        <v>29</v>
      </c>
      <c r="D26" s="38" t="n">
        <v>5</v>
      </c>
      <c r="E26" s="38" t="n">
        <v>5</v>
      </c>
      <c r="F26" s="38" t="str">
        <f aca="false">IF(E26=5,"OK",IF(D26=0,"Puede esperar",IF(AND(D26=5,E26=0),"Urgente","Importante")))</f>
        <v>OK</v>
      </c>
    </row>
    <row r="27" customFormat="false" ht="14.25" hidden="false" customHeight="false" outlineLevel="0" collapsed="false">
      <c r="B27" s="41"/>
      <c r="C27" s="42" t="s">
        <v>30</v>
      </c>
      <c r="D27" s="38" t="n">
        <v>5</v>
      </c>
      <c r="E27" s="38" t="n">
        <v>5</v>
      </c>
      <c r="F27" s="38" t="str">
        <f aca="false">IF(E27=5,"OK",IF(D27=0,"Puede esperar",IF(AND(D27=5,E27=0),"Urgente","Importante")))</f>
        <v>OK</v>
      </c>
    </row>
    <row r="28" customFormat="false" ht="14.25" hidden="false" customHeight="false" outlineLevel="0" collapsed="false">
      <c r="B28" s="41"/>
      <c r="C28" s="42" t="s">
        <v>31</v>
      </c>
      <c r="D28" s="38" t="n">
        <v>5</v>
      </c>
      <c r="E28" s="38" t="n">
        <v>3</v>
      </c>
      <c r="F28" s="38" t="str">
        <f aca="false">IF(E28=5,"OK",IF(D28=0,"Puede esperar",IF(AND(D28=5,E28=0),"Urgente","Importante")))</f>
        <v>Importante</v>
      </c>
    </row>
    <row r="29" customFormat="false" ht="27" hidden="false" customHeight="true" outlineLevel="0" collapsed="false">
      <c r="B29" s="41"/>
      <c r="C29" s="42" t="s">
        <v>32</v>
      </c>
      <c r="D29" s="38" t="n">
        <v>5</v>
      </c>
      <c r="E29" s="38" t="n">
        <v>0</v>
      </c>
      <c r="F29" s="38" t="str">
        <f aca="false">IF(E29=5,"OK",IF(D29=0,"Puede esperar",IF(AND(D29=5,E29=0),"Urgente","Importante")))</f>
        <v>Urgente</v>
      </c>
    </row>
    <row r="30" customFormat="false" ht="14.25" hidden="false" customHeight="false" outlineLevel="0" collapsed="false">
      <c r="B30" s="41"/>
      <c r="C30" s="42" t="s">
        <v>33</v>
      </c>
      <c r="D30" s="38" t="n">
        <v>5</v>
      </c>
      <c r="E30" s="38" t="n">
        <v>5</v>
      </c>
      <c r="F30" s="38" t="str">
        <f aca="false">IF(E30=5,"OK",IF(D30=0,"Puede esperar",IF(AND(D30=5,E30=0),"Urgente","Importante")))</f>
        <v>OK</v>
      </c>
    </row>
    <row r="31" customFormat="false" ht="27" hidden="false" customHeight="true" outlineLevel="0" collapsed="false">
      <c r="B31" s="41"/>
      <c r="C31" s="42" t="s">
        <v>34</v>
      </c>
      <c r="D31" s="38" t="n">
        <v>5</v>
      </c>
      <c r="E31" s="38" t="n">
        <v>5</v>
      </c>
      <c r="F31" s="38" t="str">
        <f aca="false">IF(E31=5,"OK",IF(D31=0,"Puede esperar",IF(AND(D31=5,E31=0),"Urgente","Importante")))</f>
        <v>OK</v>
      </c>
    </row>
    <row r="32" customFormat="false" ht="14.25" hidden="false" customHeight="false" outlineLevel="0" collapsed="false">
      <c r="B32" s="41"/>
      <c r="C32" s="42" t="s">
        <v>35</v>
      </c>
      <c r="D32" s="38" t="n">
        <v>5</v>
      </c>
      <c r="E32" s="38" t="n">
        <v>3</v>
      </c>
      <c r="F32" s="38" t="str">
        <f aca="false">IF(E32=5,"OK",IF(D32=0,"Puede esperar",IF(AND(D32=5,E32=0),"Urgente","Importante")))</f>
        <v>Importante</v>
      </c>
    </row>
    <row r="33" customFormat="false" ht="14.25" hidden="false" customHeight="true" outlineLevel="0" collapsed="false">
      <c r="B33" s="43" t="s">
        <v>36</v>
      </c>
      <c r="C33" s="44" t="s">
        <v>37</v>
      </c>
      <c r="D33" s="38" t="n">
        <v>5</v>
      </c>
      <c r="E33" s="38" t="n">
        <v>4</v>
      </c>
      <c r="F33" s="38" t="str">
        <f aca="false">IF(E33=5,"OK",IF(D33=0,"Puede esperar",IF(AND(D33=5,E33=0),"Urgente","Importante")))</f>
        <v>Importante</v>
      </c>
    </row>
    <row r="34" customFormat="false" ht="14.25" hidden="false" customHeight="false" outlineLevel="0" collapsed="false">
      <c r="B34" s="43"/>
      <c r="C34" s="44" t="s">
        <v>38</v>
      </c>
      <c r="D34" s="38" t="n">
        <v>5</v>
      </c>
      <c r="E34" s="38" t="n">
        <v>4</v>
      </c>
      <c r="F34" s="38" t="str">
        <f aca="false">IF(E34=5,"OK",IF(D34=0,"Puede esperar",IF(AND(D34=5,E34=0),"Urgente","Importante")))</f>
        <v>Importante</v>
      </c>
    </row>
    <row r="35" customFormat="false" ht="14.25" hidden="false" customHeight="false" outlineLevel="0" collapsed="false">
      <c r="B35" s="43"/>
      <c r="C35" s="44" t="s">
        <v>39</v>
      </c>
      <c r="D35" s="38" t="n">
        <v>5</v>
      </c>
      <c r="E35" s="38" t="n">
        <v>3</v>
      </c>
      <c r="F35" s="38" t="str">
        <f aca="false">IF(E35=5,"OK",IF(D35=0,"Puede esperar",IF(AND(D35=5,E35=0),"Urgente","Importante")))</f>
        <v>Importante</v>
      </c>
    </row>
    <row r="36" customFormat="false" ht="14.25" hidden="false" customHeight="false" outlineLevel="0" collapsed="false">
      <c r="B36" s="43"/>
      <c r="C36" s="44" t="s">
        <v>40</v>
      </c>
      <c r="D36" s="38" t="n">
        <v>5</v>
      </c>
      <c r="E36" s="38" t="n">
        <v>4.5</v>
      </c>
      <c r="F36" s="38" t="str">
        <f aca="false">IF(E36=5,"OK",IF(D36=0,"Puede esperar",IF(AND(D36=5,E36=0),"Urgente","Importante")))</f>
        <v>Importante</v>
      </c>
    </row>
    <row r="37" customFormat="false" ht="14.25" hidden="false" customHeight="false" outlineLevel="0" collapsed="false">
      <c r="B37" s="43"/>
      <c r="C37" s="44" t="s">
        <v>41</v>
      </c>
      <c r="D37" s="38" t="n">
        <v>3</v>
      </c>
      <c r="E37" s="38" t="n">
        <v>3</v>
      </c>
      <c r="F37" s="38" t="str">
        <f aca="false">IF(E37=5,"OK",IF(D37=0,"Puede esperar",IF(AND(D37=5,E37=0),"Urgente","Importante")))</f>
        <v>Importante</v>
      </c>
    </row>
    <row r="38" customFormat="false" ht="14.25" hidden="false" customHeight="false" outlineLevel="0" collapsed="false">
      <c r="B38" s="43"/>
      <c r="C38" s="44" t="s">
        <v>42</v>
      </c>
      <c r="D38" s="38" t="n">
        <v>5</v>
      </c>
      <c r="E38" s="38" t="n">
        <v>3</v>
      </c>
      <c r="F38" s="38" t="str">
        <f aca="false">IF(E38=5,"OK",IF(D38=0,"Puede esperar",IF(AND(D38=5,E38=0),"Urgente","Importante")))</f>
        <v>Importante</v>
      </c>
    </row>
    <row r="39" customFormat="false" ht="27.75" hidden="false" customHeight="true" outlineLevel="0" collapsed="false">
      <c r="B39" s="43"/>
      <c r="C39" s="44" t="s">
        <v>43</v>
      </c>
      <c r="D39" s="38" t="n">
        <v>5</v>
      </c>
      <c r="E39" s="38" t="n">
        <v>5</v>
      </c>
      <c r="F39" s="38" t="str">
        <f aca="false">IF(E39=5,"OK",IF(D39=0,"Puede esperar",IF(AND(D39=5,E39=0),"Urgente","Importante")))</f>
        <v>OK</v>
      </c>
    </row>
    <row r="40" customFormat="false" ht="14.25" hidden="false" customHeight="false" outlineLevel="0" collapsed="false">
      <c r="B40" s="43"/>
      <c r="C40" s="44" t="s">
        <v>44</v>
      </c>
      <c r="D40" s="38" t="n">
        <v>5</v>
      </c>
      <c r="E40" s="38" t="n">
        <v>4</v>
      </c>
      <c r="F40" s="38" t="str">
        <f aca="false">IF(E40=5,"OK",IF(D40=0,"Puede esperar",IF(AND(D40=5,E40=0),"Urgente","Importante")))</f>
        <v>Importante</v>
      </c>
    </row>
    <row r="41" customFormat="false" ht="14.25" hidden="false" customHeight="false" outlineLevel="0" collapsed="false">
      <c r="B41" s="43"/>
      <c r="C41" s="44" t="s">
        <v>45</v>
      </c>
      <c r="D41" s="38" t="n">
        <v>0</v>
      </c>
      <c r="E41" s="38" t="n">
        <v>0</v>
      </c>
      <c r="F41" s="38" t="str">
        <f aca="false">IF(E41=5,"OK",IF(D41=0,"Puede esperar",IF(AND(D41=5,E41=0),"Urgente","Importante")))</f>
        <v>Puede esperar</v>
      </c>
    </row>
  </sheetData>
  <sheetProtection algorithmName="SHA-512" hashValue="j5+uxU9iROepLIfUjCIZj/7CrA+dv2Tjyv7NwyCGXtS16iCQdsctLVD2vT7xv1/8RGrWN0intgfbNu6mjHmgYw==" saltValue="pQyjuWdgBbJWNT2bKW0EUw==" spinCount="100000" sheet="true" objects="true" scenarios="true"/>
  <mergeCells count="7">
    <mergeCell ref="C2:D2"/>
    <mergeCell ref="D9:E9"/>
    <mergeCell ref="B13:B19"/>
    <mergeCell ref="B20:B21"/>
    <mergeCell ref="B22:B24"/>
    <mergeCell ref="B25:B32"/>
    <mergeCell ref="B33:B41"/>
  </mergeCells>
  <dataValidations count="1">
    <dataValidation allowBlank="true" errorStyle="stop" operator="between" showDropDown="false" showErrorMessage="true" showInputMessage="true" sqref="D13:E41" type="list">
      <formula1>"0,3,5"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44.88"/>
    <col collapsed="false" customWidth="true" hidden="false" outlineLevel="0" max="2" min="2" style="0" width="46.11"/>
  </cols>
  <sheetData>
    <row r="3" customFormat="false" ht="14.25" hidden="false" customHeight="false" outlineLevel="0" collapsed="false">
      <c r="A3" s="45" t="s">
        <v>51</v>
      </c>
      <c r="B3" s="46" t="s">
        <v>54</v>
      </c>
      <c r="C3" s="47" t="s">
        <v>57</v>
      </c>
    </row>
    <row r="4" customFormat="false" ht="14.25" hidden="false" customHeight="false" outlineLevel="0" collapsed="false">
      <c r="A4" s="48" t="s">
        <v>58</v>
      </c>
      <c r="B4" s="49" t="s">
        <v>24</v>
      </c>
      <c r="C4" s="50"/>
    </row>
    <row r="5" customFormat="false" ht="14.25" hidden="false" customHeight="false" outlineLevel="0" collapsed="false">
      <c r="A5" s="51"/>
      <c r="B5" s="52" t="s">
        <v>16</v>
      </c>
      <c r="C5" s="53"/>
    </row>
    <row r="6" customFormat="false" ht="14.25" hidden="false" customHeight="false" outlineLevel="0" collapsed="false">
      <c r="A6" s="51"/>
      <c r="B6" s="52" t="s">
        <v>25</v>
      </c>
      <c r="C6" s="53"/>
    </row>
    <row r="7" customFormat="false" ht="14.25" hidden="false" customHeight="false" outlineLevel="0" collapsed="false">
      <c r="A7" s="51"/>
      <c r="B7" s="52" t="s">
        <v>44</v>
      </c>
      <c r="C7" s="53"/>
    </row>
    <row r="8" customFormat="false" ht="14.25" hidden="false" customHeight="false" outlineLevel="0" collapsed="false">
      <c r="A8" s="51"/>
      <c r="B8" s="52" t="s">
        <v>28</v>
      </c>
      <c r="C8" s="53"/>
    </row>
    <row r="9" customFormat="false" ht="14.25" hidden="false" customHeight="false" outlineLevel="0" collapsed="false">
      <c r="A9" s="51"/>
      <c r="B9" s="52" t="s">
        <v>35</v>
      </c>
      <c r="C9" s="53"/>
    </row>
    <row r="10" customFormat="false" ht="14.25" hidden="false" customHeight="false" outlineLevel="0" collapsed="false">
      <c r="A10" s="51"/>
      <c r="B10" s="52" t="s">
        <v>40</v>
      </c>
      <c r="C10" s="53"/>
    </row>
    <row r="11" customFormat="false" ht="14.25" hidden="false" customHeight="false" outlineLevel="0" collapsed="false">
      <c r="A11" s="51"/>
      <c r="B11" s="52" t="s">
        <v>37</v>
      </c>
      <c r="C11" s="53"/>
    </row>
    <row r="12" customFormat="false" ht="14.25" hidden="false" customHeight="false" outlineLevel="0" collapsed="false">
      <c r="A12" s="51"/>
      <c r="B12" s="52" t="s">
        <v>38</v>
      </c>
      <c r="C12" s="53"/>
    </row>
    <row r="13" customFormat="false" ht="14.25" hidden="false" customHeight="false" outlineLevel="0" collapsed="false">
      <c r="A13" s="51"/>
      <c r="B13" s="52" t="s">
        <v>41</v>
      </c>
      <c r="C13" s="53"/>
    </row>
    <row r="14" customFormat="false" ht="14.25" hidden="false" customHeight="false" outlineLevel="0" collapsed="false">
      <c r="A14" s="51"/>
      <c r="B14" s="52" t="s">
        <v>26</v>
      </c>
      <c r="C14" s="53"/>
    </row>
    <row r="15" customFormat="false" ht="14.25" hidden="false" customHeight="false" outlineLevel="0" collapsed="false">
      <c r="A15" s="51"/>
      <c r="B15" s="52" t="s">
        <v>31</v>
      </c>
      <c r="C15" s="53"/>
    </row>
    <row r="16" customFormat="false" ht="14.25" hidden="false" customHeight="false" outlineLevel="0" collapsed="false">
      <c r="A16" s="51"/>
      <c r="B16" s="52" t="s">
        <v>42</v>
      </c>
      <c r="C16" s="53"/>
    </row>
    <row r="17" customFormat="false" ht="14.25" hidden="false" customHeight="false" outlineLevel="0" collapsed="false">
      <c r="A17" s="54"/>
      <c r="B17" s="55" t="s">
        <v>39</v>
      </c>
      <c r="C17" s="56"/>
    </row>
    <row r="18" customFormat="false" ht="14.25" hidden="false" customHeight="false" outlineLevel="0" collapsed="false">
      <c r="A18" s="57" t="s">
        <v>59</v>
      </c>
      <c r="B18" s="58" t="s">
        <v>32</v>
      </c>
      <c r="C18" s="59"/>
    </row>
    <row r="19" customFormat="false" ht="14.25" hidden="false" customHeight="false" outlineLevel="0" collapsed="false">
      <c r="A19" s="60" t="s">
        <v>60</v>
      </c>
      <c r="B19" s="61"/>
      <c r="C19" s="6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15" activeCellId="0" sqref="L1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33"/>
    <col collapsed="false" customWidth="true" hidden="false" outlineLevel="0" max="2" min="2" style="0" width="47.33"/>
    <col collapsed="false" customWidth="true" hidden="false" outlineLevel="0" max="3" min="3" style="0" width="60"/>
    <col collapsed="false" customWidth="true" hidden="false" outlineLevel="0" max="4" min="4" style="0" width="33"/>
    <col collapsed="false" customWidth="true" hidden="false" outlineLevel="0" max="5" min="5" style="0" width="52.11"/>
    <col collapsed="false" customWidth="true" hidden="false" outlineLevel="0" max="6" min="6" style="0" width="37.56"/>
    <col collapsed="false" customWidth="true" hidden="false" outlineLevel="0" max="7" min="7" style="0" width="40.89"/>
    <col collapsed="false" customWidth="true" hidden="false" outlineLevel="0" max="8" min="8" style="0" width="43.78"/>
    <col collapsed="false" customWidth="true" hidden="false" outlineLevel="0" max="9" min="9" style="0" width="45.56"/>
    <col collapsed="false" customWidth="true" hidden="false" outlineLevel="0" max="10" min="10" style="0" width="43.67"/>
    <col collapsed="false" customWidth="true" hidden="false" outlineLevel="0" max="11" min="11" style="0" width="39.89"/>
    <col collapsed="false" customWidth="true" hidden="false" outlineLevel="0" max="12" min="12" style="0" width="44"/>
    <col collapsed="false" customWidth="true" hidden="false" outlineLevel="0" max="13" min="13" style="0" width="16.78"/>
  </cols>
  <sheetData>
    <row r="2" customFormat="false" ht="43.5" hidden="false" customHeight="true" outlineLevel="0" collapsed="false">
      <c r="B2" s="63" t="s">
        <v>61</v>
      </c>
      <c r="C2" s="63"/>
      <c r="D2" s="63"/>
      <c r="E2" s="63"/>
      <c r="F2" s="63"/>
      <c r="G2" s="63"/>
    </row>
    <row r="4" customFormat="false" ht="15" hidden="false" customHeight="true" outlineLevel="0" collapsed="false">
      <c r="B4" s="64" t="s">
        <v>62</v>
      </c>
      <c r="C4" s="65" t="s">
        <v>63</v>
      </c>
      <c r="D4" s="65" t="s">
        <v>64</v>
      </c>
      <c r="E4" s="66" t="s">
        <v>65</v>
      </c>
      <c r="F4" s="67" t="s">
        <v>66</v>
      </c>
      <c r="G4" s="68" t="s">
        <v>67</v>
      </c>
      <c r="H4" s="68"/>
      <c r="I4" s="68"/>
      <c r="J4" s="68"/>
      <c r="K4" s="68"/>
      <c r="L4" s="68"/>
    </row>
    <row r="5" customFormat="false" ht="15" hidden="false" customHeight="true" outlineLevel="0" collapsed="false">
      <c r="B5" s="69"/>
      <c r="C5" s="70" t="s">
        <v>68</v>
      </c>
      <c r="D5" s="70" t="s">
        <v>69</v>
      </c>
      <c r="E5" s="71"/>
      <c r="F5" s="72"/>
      <c r="G5" s="73" t="s">
        <v>70</v>
      </c>
      <c r="H5" s="74" t="s">
        <v>71</v>
      </c>
      <c r="I5" s="74" t="s">
        <v>72</v>
      </c>
      <c r="J5" s="74" t="s">
        <v>73</v>
      </c>
      <c r="K5" s="74"/>
      <c r="L5" s="74"/>
    </row>
    <row r="6" customFormat="false" ht="14.25" hidden="false" customHeight="false" outlineLevel="0" collapsed="false">
      <c r="B6" s="75" t="s">
        <v>25</v>
      </c>
      <c r="C6" s="76" t="s">
        <v>74</v>
      </c>
      <c r="D6" s="76" t="s">
        <v>75</v>
      </c>
      <c r="E6" s="76" t="s">
        <v>76</v>
      </c>
      <c r="F6" s="77" t="n">
        <v>46097</v>
      </c>
      <c r="G6" s="78" t="s">
        <v>77</v>
      </c>
      <c r="H6" s="75" t="s">
        <v>78</v>
      </c>
      <c r="I6" s="75" t="s">
        <v>79</v>
      </c>
      <c r="J6" s="75" t="s">
        <v>80</v>
      </c>
      <c r="K6" s="75"/>
      <c r="L6" s="75"/>
    </row>
    <row r="7" customFormat="false" ht="14.25" hidden="false" customHeight="false" outlineLevel="0" collapsed="false">
      <c r="B7" s="75" t="s">
        <v>17</v>
      </c>
      <c r="C7" s="76" t="s">
        <v>81</v>
      </c>
      <c r="D7" s="76" t="s">
        <v>82</v>
      </c>
      <c r="E7" s="76" t="s">
        <v>83</v>
      </c>
      <c r="F7" s="77" t="n">
        <v>46097</v>
      </c>
      <c r="G7" s="78" t="s">
        <v>84</v>
      </c>
      <c r="H7" s="75" t="s">
        <v>85</v>
      </c>
      <c r="I7" s="75" t="s">
        <v>86</v>
      </c>
      <c r="J7" s="75" t="s">
        <v>87</v>
      </c>
      <c r="K7" s="75"/>
      <c r="L7" s="75"/>
    </row>
    <row r="8" customFormat="false" ht="14.25" hidden="false" customHeight="false" outlineLevel="0" collapsed="false">
      <c r="B8" s="75" t="s">
        <v>35</v>
      </c>
      <c r="C8" s="76" t="s">
        <v>88</v>
      </c>
      <c r="D8" s="76" t="s">
        <v>89</v>
      </c>
      <c r="E8" s="76" t="s">
        <v>90</v>
      </c>
      <c r="F8" s="77" t="n">
        <v>46097</v>
      </c>
      <c r="G8" s="78" t="s">
        <v>91</v>
      </c>
      <c r="H8" s="75" t="s">
        <v>92</v>
      </c>
      <c r="I8" s="75" t="s">
        <v>93</v>
      </c>
      <c r="J8" s="75" t="s">
        <v>94</v>
      </c>
      <c r="K8" s="75"/>
      <c r="L8" s="75"/>
    </row>
    <row r="9" customFormat="false" ht="14.25" hidden="false" customHeight="false" outlineLevel="0" collapsed="false">
      <c r="B9" s="75" t="s">
        <v>40</v>
      </c>
      <c r="C9" s="76" t="s">
        <v>95</v>
      </c>
      <c r="D9" s="76" t="s">
        <v>96</v>
      </c>
      <c r="E9" s="76" t="s">
        <v>90</v>
      </c>
      <c r="F9" s="77" t="n">
        <v>46097</v>
      </c>
      <c r="G9" s="78" t="s">
        <v>97</v>
      </c>
      <c r="H9" s="75" t="s">
        <v>98</v>
      </c>
      <c r="I9" s="75" t="s">
        <v>99</v>
      </c>
      <c r="J9" s="75" t="s">
        <v>100</v>
      </c>
      <c r="K9" s="75"/>
      <c r="L9" s="75"/>
    </row>
    <row r="10" customFormat="false" ht="14.25" hidden="false" customHeight="false" outlineLevel="0" collapsed="false">
      <c r="B10" s="75" t="s">
        <v>38</v>
      </c>
      <c r="C10" s="76" t="s">
        <v>101</v>
      </c>
      <c r="D10" s="76" t="s">
        <v>102</v>
      </c>
      <c r="E10" s="76" t="s">
        <v>90</v>
      </c>
      <c r="F10" s="77" t="n">
        <v>46097</v>
      </c>
      <c r="G10" s="78" t="s">
        <v>103</v>
      </c>
      <c r="H10" s="75" t="s">
        <v>104</v>
      </c>
      <c r="I10" s="75" t="s">
        <v>105</v>
      </c>
      <c r="J10" s="75" t="s">
        <v>106</v>
      </c>
      <c r="K10" s="75" t="s">
        <v>107</v>
      </c>
      <c r="L10" s="75" t="s">
        <v>108</v>
      </c>
    </row>
    <row r="11" customFormat="false" ht="14.25" hidden="false" customHeight="false" outlineLevel="0" collapsed="false">
      <c r="B11" s="75" t="s">
        <v>13</v>
      </c>
      <c r="C11" s="75" t="s">
        <v>109</v>
      </c>
      <c r="D11" s="75" t="s">
        <v>110</v>
      </c>
      <c r="E11" s="75" t="s">
        <v>111</v>
      </c>
      <c r="F11" s="77" t="n">
        <v>46097</v>
      </c>
      <c r="G11" s="78" t="s">
        <v>112</v>
      </c>
      <c r="H11" s="75" t="s">
        <v>113</v>
      </c>
      <c r="I11" s="75" t="s">
        <v>114</v>
      </c>
      <c r="J11" s="75" t="s">
        <v>115</v>
      </c>
      <c r="K11" s="75"/>
      <c r="L11" s="75"/>
    </row>
    <row r="12" customFormat="false" ht="14.25" hidden="false" customHeight="false" outlineLevel="0" collapsed="false">
      <c r="B12" s="75" t="s">
        <v>26</v>
      </c>
      <c r="C12" s="75" t="s">
        <v>116</v>
      </c>
      <c r="D12" s="75" t="s">
        <v>117</v>
      </c>
      <c r="E12" s="76" t="s">
        <v>90</v>
      </c>
      <c r="F12" s="77" t="n">
        <v>46097</v>
      </c>
      <c r="G12" s="78" t="s">
        <v>118</v>
      </c>
      <c r="H12" s="75" t="s">
        <v>119</v>
      </c>
      <c r="I12" s="75" t="s">
        <v>120</v>
      </c>
      <c r="J12" s="75" t="s">
        <v>121</v>
      </c>
      <c r="K12" s="75"/>
      <c r="L12" s="75"/>
    </row>
    <row r="13" customFormat="false" ht="14.25" hidden="false" customHeight="false" outlineLevel="0" collapsed="false">
      <c r="B13" s="75" t="s">
        <v>45</v>
      </c>
      <c r="C13" s="75" t="s">
        <v>122</v>
      </c>
      <c r="D13" s="75" t="s">
        <v>123</v>
      </c>
      <c r="E13" s="76" t="s">
        <v>90</v>
      </c>
      <c r="F13" s="77" t="n">
        <v>46097</v>
      </c>
      <c r="G13" s="78" t="s">
        <v>124</v>
      </c>
      <c r="H13" s="75" t="s">
        <v>125</v>
      </c>
      <c r="I13" s="75" t="s">
        <v>126</v>
      </c>
      <c r="J13" s="75" t="s">
        <v>127</v>
      </c>
      <c r="K13" s="75"/>
      <c r="L13" s="75"/>
    </row>
    <row r="14" customFormat="false" ht="14.25" hidden="false" customHeight="false" outlineLevel="0" collapsed="false">
      <c r="B14" s="75" t="s">
        <v>42</v>
      </c>
      <c r="C14" s="75" t="s">
        <v>128</v>
      </c>
      <c r="D14" s="75" t="s">
        <v>129</v>
      </c>
      <c r="E14" s="76" t="s">
        <v>90</v>
      </c>
      <c r="F14" s="77" t="n">
        <v>46097</v>
      </c>
      <c r="G14" s="78" t="s">
        <v>130</v>
      </c>
      <c r="H14" s="75" t="s">
        <v>131</v>
      </c>
      <c r="I14" s="75" t="s">
        <v>132</v>
      </c>
      <c r="J14" s="75" t="s">
        <v>133</v>
      </c>
      <c r="K14" s="75"/>
      <c r="L14" s="75"/>
    </row>
    <row r="15" customFormat="false" ht="14.25" hidden="false" customHeight="false" outlineLevel="0" collapsed="false">
      <c r="B15" s="75" t="s">
        <v>39</v>
      </c>
      <c r="C15" s="75" t="s">
        <v>134</v>
      </c>
      <c r="D15" s="75" t="s">
        <v>135</v>
      </c>
      <c r="E15" s="76" t="s">
        <v>90</v>
      </c>
      <c r="F15" s="77" t="n">
        <v>46097</v>
      </c>
      <c r="G15" s="78" t="s">
        <v>136</v>
      </c>
      <c r="H15" s="75" t="s">
        <v>137</v>
      </c>
      <c r="I15" s="75" t="s">
        <v>138</v>
      </c>
      <c r="J15" s="75" t="s">
        <v>139</v>
      </c>
      <c r="K15" s="75"/>
      <c r="L15" s="75"/>
    </row>
  </sheetData>
  <mergeCells count="2">
    <mergeCell ref="B2:G2"/>
    <mergeCell ref="G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  <dc:creator>Juan Pablo Martinez</dc:creator>
  <dc:description/>
  <dc:language>en-US</dc:language>
  <cp:lastModifiedBy/>
  <dcterms:modified xsi:type="dcterms:W3CDTF">2026-04-13T01:58:47Z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