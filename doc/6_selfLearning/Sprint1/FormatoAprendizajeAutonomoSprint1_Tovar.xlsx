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87C4C94-B5B3-46F3-A5F3-4BC774FAFA49}" xr6:coauthVersionLast="47" xr6:coauthVersionMax="47" xr10:uidLastSave="{00000000-0000-0000-0000-000000000000}"/>
  <bookViews>
    <workbookView xWindow="28680" yWindow="-120" windowWidth="29040" windowHeight="15840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<sst xmlns="http://schemas.openxmlformats.org/spreadsheetml/2006/main" count="164" uniqueCount="97">
  <si>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</si>
  <si>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</si>
  <si>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</si>
  <si>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</si>
  <si>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</si>
  <si>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</si>
  <si>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</si>
  <si>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</si>
  <si>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</si>
  <si>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scheme val="minor"/>
      </rPr>
      <t>Califícate del 1 al 5, donde:
4.5-5 significa “Sobresaliente”.</t>
    </r>
    <r>
      <rPr>
        <sz val="11"/>
        <color rgb="FF000000"/>
        <rFont val="Aptos Narrow"/>
        <scheme val="minor"/>
      </rPr>
      <t xml:space="preserve"> Tienes un dominio sólido y lo aplicas con seguridad.
</t>
    </r>
    <r>
      <rPr>
        <b/>
        <sz val="11"/>
        <color rgb="FF000000"/>
        <rFont val="Aptos Narrow"/>
        <scheme val="minor"/>
      </rPr>
      <t xml:space="preserve">3.8- 4.4 significa “Proficiente”. </t>
    </r>
    <r>
      <rPr>
        <sz val="11"/>
        <color rgb="FF000000"/>
        <rFont val="Aptos Narrow"/>
        <scheme val="minor"/>
      </rPr>
      <t xml:space="preserve">Manejas la habilidad de forma adecuada y consistente.
</t>
    </r>
    <r>
      <rPr>
        <b/>
        <sz val="11"/>
        <color rgb="FF000000"/>
        <rFont val="Aptos Narrow"/>
        <scheme val="minor"/>
      </rPr>
      <t xml:space="preserve">3.0- 3.7 significa “En desarrollo”. </t>
    </r>
    <r>
      <rPr>
        <sz val="11"/>
        <color rgb="FF000000"/>
        <rFont val="Aptos Narrow"/>
        <scheme val="minor"/>
      </rPr>
      <t xml:space="preserve">Tienes avances, pero aún necesitas mejorar.
</t>
    </r>
    <r>
      <rPr>
        <b/>
        <sz val="11"/>
        <color rgb="FF000000"/>
        <rFont val="Aptos Narrow"/>
        <scheme val="minor"/>
      </rPr>
      <t>0-2.9 significa “Básico”.</t>
    </r>
    <r>
      <rPr>
        <sz val="11"/>
        <color rgb="FF000000"/>
        <rFont val="Aptos Narrow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</si>
  <si>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</si>
  <si>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</si>
  <si>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</si>
  <si>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</si>
  <si>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</si>
  <si>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</si>
  <si>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</si>
  <si>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</si>
  <si>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</si>
  <si>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</si>
  <si>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</si>
  <si>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</si>
  <si>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</si>
  <si>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</si>
  <si>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</si>
  <si>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</si>
  <si>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</si>
  <si>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</si>
  <si>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</si>
  <si>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</si>
  <si>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</si>
  <si>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</si>
  <si>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</si>
  <si>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</si>
  <si>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</si>
  <si>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</si>
  <si>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</si>
  <si>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</si>
  <si>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</si>
  <si>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</si>
  <si>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</si>
  <si>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</si>
  <si>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</si>
  <si>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</si>
  <si>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</si>
  <si>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</si>
  <si>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</si>
  <si>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</si>
  <si>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</si>
  <si>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</si>
  <si>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</si>
  <si>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</si>
  <si>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</si>
  <si>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</si>
  <si>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</si>
  <si>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</si>
  <si>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</si>
  <si>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</si>
  <si>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</si>
  <si>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</si>
  <si>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</si>
  <si>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</si>
  <si>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</si>
  <si>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</si>
  <si>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</si>
  <si>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</si>
  <si>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</si>
  <si>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</si>
  <si>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Internet, mis compañeros</t>
  </si>
  <si>
    <t>Voy a familiarizarme con el uso de Jira para apoyar a mi equipo en todo el desarrollo del proyecto</t>
  </si>
  <si>
    <t>Voy a hacer un proyecto piloto de prueba para conocer como es la usabilidad de jira y resolver dudas a tiempo en el primer taller de Jira</t>
  </si>
  <si>
    <t>Attlasian Jira, internet, asistiendo al taller presencial</t>
  </si>
  <si>
    <t>Investigar acerca del uso de Selenium en la práctica</t>
  </si>
  <si>
    <t>Buscar en internet y tomar apuntes de como funciona Selenium para automatización de pruebas</t>
  </si>
  <si>
    <t>Internet, foros, videos</t>
  </si>
  <si>
    <t>Total general</t>
  </si>
  <si>
    <t xml:space="preserve">Aun no tenemos conocimiento de Selenium </t>
  </si>
  <si>
    <t>Videos de proyectos relacionados con lo que estamos haciendo</t>
  </si>
  <si>
    <t>Anterior(16/03/2026)</t>
  </si>
  <si>
    <t>ya estduie por mi cuenta, apoyandome en compañeros que ya cursaron la materia</t>
  </si>
  <si>
    <t>Anterior(16/03/2026) Nueva fecha 05/05/2026</t>
  </si>
  <si>
    <t>Comprendi conceptos como uno a muchos, uno a uno, llave primaria y foranea, a parte lo nuevo es entender un poco  las abstracciones para un modelo relacional</t>
  </si>
  <si>
    <t>Antes queria aprender los modelos relacionales, ahora los conozco un poquito mas y comprendo algo mas el MER pero debo entenderlos más a profundidad</t>
  </si>
  <si>
    <t>Practicar más con proyectos Django, ya entiendo la relacion entre models, forms views y URLS</t>
  </si>
  <si>
    <t xml:space="preserve">Practicar mas </t>
  </si>
  <si>
    <t>turorirales de youtube, IA, documentacion</t>
  </si>
  <si>
    <r>
      <t xml:space="preserve">Anterior 1 (16/03/2026) Anterior 2 </t>
    </r>
    <r>
      <rPr>
        <sz val="11"/>
        <color theme="1"/>
        <rFont val="Aptos Narrow"/>
        <family val="2"/>
        <scheme val="minor"/>
      </rPr>
      <t>(30/03/2026) Nueva fecha (05/05/2026)</t>
    </r>
  </si>
  <si>
    <t>Debo mejorar la gestion de mi tiempo para no dejar que se me acumulen responsabilidades</t>
  </si>
  <si>
    <t>Planificar con alguna plantilla lo que debo hacer, lo mas importante</t>
  </si>
  <si>
    <t>Canva, youtube, IA, google</t>
  </si>
  <si>
    <t>Todo el sprint 2 hasta finalizacion</t>
  </si>
  <si>
    <t>Con la primer version del proyecto, aprendi como desde el model se relaciona el forms, las views y las URLS, pero debo practicar mas por mi cuenta cosas de Django para web, y pode aplicarlo mejor al proyecto</t>
  </si>
  <si>
    <t>Ya usamos jira con confianza, al menos en el sprint 1, tambien manejamos mas la gestion del tablero kanban, pero nos falto la parte de asignar mejor las subtareas por HU</t>
  </si>
  <si>
    <r>
      <t>Anterior(16/03/2026) Anterior</t>
    </r>
    <r>
      <rPr>
        <sz val="11"/>
        <color theme="1"/>
        <rFont val="Aptos Narrow"/>
        <family val="2"/>
        <scheme val="minor"/>
      </rPr>
      <t>(29/04/2026) Nueva fecha (05/05/2026)</t>
    </r>
  </si>
  <si>
    <t>Le di mucho uso en el desarrollo del proyecto</t>
  </si>
  <si>
    <t>Aprender nuevas cosas de python</t>
  </si>
  <si>
    <t>Internet, IA, documentacion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</si>
</sst>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sz val="17"/>
      <color theme="1"/>
      <name val="Aptos Narrow"/>
      <family val="2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1" fillId="7" borderId="2" xfId="0" applyFont="1" applyFill="1" applyBorder="1"/>
    <xf numFmtId="0" fontId="12" fillId="7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4" fillId="0" borderId="0" xfId="0" applyFont="1"/>
    <xf numFmtId="0" fontId="14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3" fillId="0" borderId="0" xfId="0" applyFont="1"/>
    <xf numFmtId="0" fontId="21" fillId="0" borderId="0" xfId="0" applyFont="1"/>
    <xf numFmtId="0" fontId="0" fillId="0" borderId="2" xfId="0" applyBorder="1"/>
    <xf numFmtId="0" fontId="8" fillId="7" borderId="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4" fillId="0" borderId="0" xfId="0" applyFont="1" applyAlignment="1">
      <alignment horizontal="left" wrapText="1"/>
    </xf>
    <xf numFmtId="0" fontId="0" fillId="0" borderId="4" xfId="0" applyBorder="1"/>
    <xf numFmtId="14" fontId="25" fillId="0" borderId="2" xfId="0" applyNumberFormat="1" applyFont="1" applyBorder="1"/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4" fontId="25" fillId="0" borderId="4" xfId="0" applyNumberFormat="1" applyFont="1" applyFill="1" applyBorder="1"/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4.5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4.5</c:v>
                </c:pt>
                <c:pt idx="1">
                  <c:v>4</c:v>
                </c:pt>
                <c:pt idx="2">
                  <c:v>4.5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-169545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167640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 count="3">
        <n v="3"/>
        <n v="5"/>
        <n v="0"/>
      </sharedItems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x v="0"/>
    <x v="0"/>
  </r>
  <r>
    <x v="1"/>
    <n v="3"/>
    <x v="1"/>
    <x v="1"/>
  </r>
  <r>
    <x v="2"/>
    <n v="5"/>
    <x v="1"/>
    <x v="1"/>
  </r>
  <r>
    <x v="3"/>
    <n v="0"/>
    <x v="2"/>
    <x v="2"/>
  </r>
  <r>
    <x v="4"/>
    <n v="5"/>
    <x v="2"/>
    <x v="3"/>
  </r>
  <r>
    <x v="5"/>
    <n v="5"/>
    <x v="1"/>
    <x v="1"/>
  </r>
  <r>
    <x v="6"/>
    <n v="5"/>
    <x v="1"/>
    <x v="1"/>
  </r>
  <r>
    <x v="7"/>
    <n v="3"/>
    <x v="1"/>
    <x v="1"/>
  </r>
  <r>
    <x v="8"/>
    <n v="0"/>
    <x v="1"/>
    <x v="1"/>
  </r>
  <r>
    <x v="9"/>
    <n v="0"/>
    <x v="2"/>
    <x v="2"/>
  </r>
  <r>
    <x v="10"/>
    <n v="3"/>
    <x v="2"/>
    <x v="0"/>
  </r>
  <r>
    <x v="11"/>
    <n v="5"/>
    <x v="2"/>
    <x v="3"/>
  </r>
  <r>
    <x v="12"/>
    <n v="5"/>
    <x v="1"/>
    <x v="1"/>
  </r>
  <r>
    <x v="13"/>
    <n v="3"/>
    <x v="1"/>
    <x v="1"/>
  </r>
  <r>
    <x v="14"/>
    <n v="0"/>
    <x v="1"/>
    <x v="1"/>
  </r>
  <r>
    <x v="15"/>
    <n v="0"/>
    <x v="0"/>
    <x v="2"/>
  </r>
  <r>
    <x v="16"/>
    <n v="0"/>
    <x v="2"/>
    <x v="2"/>
  </r>
  <r>
    <x v="17"/>
    <n v="5"/>
    <x v="1"/>
    <x v="1"/>
  </r>
  <r>
    <x v="18"/>
    <n v="3"/>
    <x v="0"/>
    <x v="0"/>
  </r>
  <r>
    <x v="19"/>
    <n v="3"/>
    <x v="2"/>
    <x v="0"/>
  </r>
  <r>
    <x v="20"/>
    <n v="5"/>
    <x v="1"/>
    <x v="1"/>
  </r>
  <r>
    <x v="21"/>
    <n v="3"/>
    <x v="0"/>
    <x v="0"/>
  </r>
  <r>
    <x v="22"/>
    <n v="5"/>
    <x v="2"/>
    <x v="3"/>
  </r>
  <r>
    <x v="23"/>
    <n v="5"/>
    <x v="2"/>
    <x v="3"/>
  </r>
  <r>
    <x v="24"/>
    <n v="0"/>
    <x v="1"/>
    <x v="1"/>
  </r>
  <r>
    <x v="25"/>
    <n v="5"/>
    <x v="2"/>
    <x v="3"/>
  </r>
  <r>
    <x v="26"/>
    <n v="0"/>
    <x v="1"/>
    <x v="1"/>
  </r>
  <r>
    <x v="27"/>
    <n v="0"/>
    <x v="0"/>
    <x v="2"/>
  </r>
  <r>
    <x v="28"/>
    <n v="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zoomScale="55" zoomScaleNormal="55" workbookViewId="0">
      <selection activeCell="B23" sqref="B23"/>
    </sheetView>
  </sheetViews>
  <sheetFormatPr baseColWidth="10" defaultColWidth="8.88671875" defaultRowHeight="14.4" x14ac:dyDescent="0.3"/>
  <cols>
    <col min="2" max="2" width="154.5546875" customWidth="1"/>
  </cols>
  <sheetData>
    <row r="1" spans="1:6" x14ac:dyDescent="0.3">
      <c r="A1" s="36"/>
      <c r="B1" s="13"/>
    </row>
    <row r="2" spans="1:6" ht="47.4" x14ac:dyDescent="0.9">
      <c r="B2" s="29" t="s">
        <v>0</v>
      </c>
      <c r="D2" s="30"/>
      <c r="E2" s="30"/>
      <c r="F2" s="30"/>
    </row>
    <row r="4" spans="1:6" ht="45.6" x14ac:dyDescent="0.3">
      <c r="B4" s="33" t="s">
        <v>1</v>
      </c>
    </row>
    <row r="5" spans="1:6" ht="15.6" x14ac:dyDescent="0.3">
      <c r="B5" s="33"/>
    </row>
    <row r="6" spans="1:6" ht="15.6" x14ac:dyDescent="0.3">
      <c r="B6" s="34" t="s">
        <v>2</v>
      </c>
    </row>
    <row r="7" spans="1:6" ht="34.200000000000003" x14ac:dyDescent="0.55000000000000004">
      <c r="B7" s="34" t="s">
        <v>3</v>
      </c>
      <c r="C7" s="31"/>
    </row>
    <row r="8" spans="1:6" ht="28.8" x14ac:dyDescent="0.55000000000000004">
      <c r="B8" s="34" t="s">
        <v>4</v>
      </c>
      <c r="C8" s="31"/>
    </row>
    <row r="9" spans="1:6" ht="28.8" x14ac:dyDescent="0.55000000000000004">
      <c r="B9" s="34" t="s">
        <v>5</v>
      </c>
      <c r="C9" s="31"/>
    </row>
    <row r="10" spans="1:6" ht="15.6" x14ac:dyDescent="0.3">
      <c r="B10" s="34" t="s">
        <v>6</v>
      </c>
    </row>
    <row r="11" spans="1:6" ht="15.6" x14ac:dyDescent="0.3">
      <c r="B11" s="32"/>
    </row>
    <row r="12" spans="1:6" ht="30.6" x14ac:dyDescent="0.3">
      <c r="B12" s="33" t="s">
        <v>7</v>
      </c>
    </row>
    <row r="13" spans="1:6" ht="15.6" x14ac:dyDescent="0.3">
      <c r="B13" s="32"/>
    </row>
    <row r="14" spans="1:6" ht="15.6" x14ac:dyDescent="0.3">
      <c r="B14" s="35"/>
    </row>
    <row r="15" spans="1:6" ht="15.6" x14ac:dyDescent="0.3">
      <c r="B15" s="35"/>
    </row>
    <row r="16" spans="1:6" ht="15.6" x14ac:dyDescent="0.3">
      <c r="B16" s="35"/>
    </row>
    <row r="17" spans="2:2" ht="15.6" x14ac:dyDescent="0.3">
      <c r="B17" s="35"/>
    </row>
    <row r="18" spans="2:2" ht="15.6" x14ac:dyDescent="0.3">
      <c r="B18" s="35"/>
    </row>
    <row r="19" spans="2:2" ht="15.6" x14ac:dyDescent="0.3">
      <c r="B19" s="32"/>
    </row>
    <row r="21" spans="2:2" x14ac:dyDescent="0.3">
      <c r="B21" s="36" t="s">
        <v>8</v>
      </c>
    </row>
    <row r="52" spans="1:2" x14ac:dyDescent="0.3">
      <c r="A52" s="36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A8" zoomScale="70" zoomScaleNormal="70" workbookViewId="0">
      <selection activeCell="E55" sqref="E55"/>
    </sheetView>
  </sheetViews>
  <sheetFormatPr baseColWidth="10" defaultColWidth="8.88671875" defaultRowHeight="14.4" x14ac:dyDescent="0.3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5" bestFit="1" customWidth="1"/>
  </cols>
  <sheetData>
    <row r="32" spans="2:17" ht="15" customHeight="1" x14ac:dyDescent="0.3">
      <c r="B32" s="9"/>
      <c r="C32" s="52" t="s">
        <v>9</v>
      </c>
      <c r="D32" s="53"/>
      <c r="E32" s="53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3">
      <c r="B33" s="9"/>
      <c r="C33" s="53"/>
      <c r="D33" s="53"/>
      <c r="E33" s="5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3">
      <c r="B34" s="9"/>
      <c r="C34" s="53"/>
      <c r="D34" s="53"/>
      <c r="E34" s="53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3">
      <c r="B35" s="9"/>
      <c r="C35" s="53"/>
      <c r="D35" s="53"/>
      <c r="E35" s="53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3">
      <c r="B36" s="9"/>
      <c r="C36" s="53"/>
      <c r="D36" s="53"/>
      <c r="E36" s="53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3">
      <c r="B37" s="9"/>
      <c r="C37" s="53"/>
      <c r="D37" s="53"/>
      <c r="E37" s="53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3">
      <c r="B38" s="9"/>
      <c r="C38" s="53"/>
      <c r="D38" s="53"/>
      <c r="E38" s="53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3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3">
      <c r="B41" s="9"/>
      <c r="C41" s="49" t="s">
        <v>12</v>
      </c>
      <c r="D41" s="10" t="s">
        <v>13</v>
      </c>
      <c r="E41" s="11">
        <v>3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3">
      <c r="B42" s="9"/>
      <c r="C42" s="50"/>
      <c r="D42" s="10" t="s">
        <v>14</v>
      </c>
      <c r="E42" s="11">
        <v>5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3">
      <c r="B43" s="9"/>
      <c r="C43" s="50"/>
      <c r="D43" s="10" t="s">
        <v>15</v>
      </c>
      <c r="E43" s="11">
        <v>5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3">
      <c r="B44" s="9"/>
      <c r="C44" s="50"/>
      <c r="D44" s="10" t="s">
        <v>16</v>
      </c>
      <c r="E44" s="11">
        <v>5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3">
      <c r="B45" s="9"/>
      <c r="C45" s="50"/>
      <c r="D45" s="10" t="s">
        <v>17</v>
      </c>
      <c r="E45" s="11">
        <v>5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3">
      <c r="B46" s="9"/>
      <c r="C46" s="50"/>
      <c r="D46" s="10" t="s">
        <v>18</v>
      </c>
      <c r="E46" s="11">
        <v>5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3">
      <c r="B47" s="9"/>
      <c r="C47" s="51"/>
      <c r="D47" s="10" t="s">
        <v>19</v>
      </c>
      <c r="E47" s="11">
        <v>4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3">
      <c r="B48" s="9"/>
      <c r="C48" s="49" t="s">
        <v>20</v>
      </c>
      <c r="D48" s="12" t="s">
        <v>21</v>
      </c>
      <c r="E48" s="11">
        <v>4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3">
      <c r="B49" s="9"/>
      <c r="C49" s="51"/>
      <c r="D49" s="12" t="s">
        <v>22</v>
      </c>
      <c r="E49" s="11">
        <v>4.5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3">
      <c r="B50" s="9"/>
      <c r="C50" s="49" t="s">
        <v>23</v>
      </c>
      <c r="D50" s="12" t="s">
        <v>24</v>
      </c>
      <c r="E50" s="11">
        <v>5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3">
      <c r="B51" s="9"/>
      <c r="C51" s="50"/>
      <c r="D51" s="12" t="s">
        <v>25</v>
      </c>
      <c r="E51" s="11">
        <v>5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3">
      <c r="B52" s="9"/>
      <c r="C52" s="51"/>
      <c r="D52" s="12" t="s">
        <v>26</v>
      </c>
      <c r="E52" s="11">
        <v>4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zoomScale="70" zoomScaleNormal="70" workbookViewId="0">
      <selection activeCell="D53" sqref="D53"/>
    </sheetView>
  </sheetViews>
  <sheetFormatPr baseColWidth="10" defaultColWidth="8.88671875" defaultRowHeight="14.4" x14ac:dyDescent="0.3"/>
  <cols>
    <col min="1" max="1" width="4.44140625" customWidth="1"/>
    <col min="2" max="2" width="5.44140625" customWidth="1"/>
    <col min="3" max="3" width="50" bestFit="1" customWidth="1"/>
    <col min="4" max="4" width="17.33203125" bestFit="1" customWidth="1"/>
  </cols>
  <sheetData>
    <row r="2" spans="2:17" ht="15" customHeight="1" x14ac:dyDescent="0.3">
      <c r="B2" s="54" t="s">
        <v>9</v>
      </c>
      <c r="C2" s="55"/>
      <c r="D2" s="55"/>
      <c r="E2" s="46"/>
    </row>
    <row r="3" spans="2:17" x14ac:dyDescent="0.3">
      <c r="B3" s="55"/>
      <c r="C3" s="55"/>
      <c r="D3" s="55"/>
      <c r="E3" s="46"/>
    </row>
    <row r="4" spans="2:17" x14ac:dyDescent="0.3">
      <c r="B4" s="55"/>
      <c r="C4" s="55"/>
      <c r="D4" s="55"/>
      <c r="E4" s="46"/>
    </row>
    <row r="5" spans="2:17" x14ac:dyDescent="0.3">
      <c r="B5" s="55"/>
      <c r="C5" s="55"/>
      <c r="D5" s="55"/>
      <c r="E5" s="46"/>
    </row>
    <row r="6" spans="2:17" x14ac:dyDescent="0.3">
      <c r="B6" s="55"/>
      <c r="C6" s="55"/>
      <c r="D6" s="55"/>
      <c r="E6" s="46"/>
    </row>
    <row r="7" spans="2:17" x14ac:dyDescent="0.3">
      <c r="B7" s="55"/>
      <c r="C7" s="55"/>
      <c r="D7" s="55"/>
      <c r="E7" s="46"/>
    </row>
    <row r="8" spans="2:17" x14ac:dyDescent="0.3">
      <c r="B8" s="55"/>
      <c r="C8" s="55"/>
      <c r="D8" s="55"/>
      <c r="E8" s="46"/>
    </row>
    <row r="9" spans="2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3"/>
      <c r="C15" s="4" t="s">
        <v>28</v>
      </c>
      <c r="D15" s="5">
        <v>4.5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3"/>
      <c r="C16" s="4" t="s">
        <v>29</v>
      </c>
      <c r="D16" s="5">
        <v>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4" t="s">
        <v>30</v>
      </c>
      <c r="D17" s="5">
        <v>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4" t="s">
        <v>31</v>
      </c>
      <c r="D18" s="5">
        <v>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4" t="s">
        <v>32</v>
      </c>
      <c r="D19" s="5">
        <v>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4" t="s">
        <v>33</v>
      </c>
      <c r="D20" s="5">
        <v>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4" t="s">
        <v>34</v>
      </c>
      <c r="D21" s="5">
        <v>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4" t="s">
        <v>35</v>
      </c>
      <c r="D22" s="5">
        <v>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7" t="s">
        <v>37</v>
      </c>
      <c r="D41" s="8">
        <v>4.5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7" t="s">
        <v>38</v>
      </c>
      <c r="D42" s="8">
        <v>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7" t="s">
        <v>39</v>
      </c>
      <c r="D43" s="8">
        <v>4.5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7" t="s">
        <v>40</v>
      </c>
      <c r="D44" s="8">
        <v>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7" t="s">
        <v>41</v>
      </c>
      <c r="D45" s="8">
        <v>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">
      <c r="B46" s="6"/>
      <c r="C46" s="7" t="s">
        <v>42</v>
      </c>
      <c r="D46" s="8">
        <v>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">
      <c r="B47" s="6"/>
      <c r="C47" s="7" t="s">
        <v>43</v>
      </c>
      <c r="D47" s="8">
        <v>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">
      <c r="B49" s="6"/>
      <c r="C49" s="7" t="s">
        <v>45</v>
      </c>
      <c r="D49" s="8">
        <v>4.5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3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3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3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3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3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opLeftCell="A4" zoomScale="70" zoomScaleNormal="70" workbookViewId="0">
      <selection activeCell="G42" sqref="G42"/>
    </sheetView>
  </sheetViews>
  <sheetFormatPr baseColWidth="10" defaultColWidth="8.88671875" defaultRowHeight="14.4" x14ac:dyDescent="0.3"/>
  <cols>
    <col min="2" max="2" width="31.88671875" customWidth="1"/>
    <col min="3" max="3" width="46.88671875" customWidth="1"/>
    <col min="4" max="4" width="24.88671875" bestFit="1" customWidth="1"/>
    <col min="5" max="5" width="18.5546875" customWidth="1"/>
    <col min="6" max="6" width="19.6640625" customWidth="1"/>
  </cols>
  <sheetData>
    <row r="2" spans="2:6" ht="36.75" customHeight="1" x14ac:dyDescent="0.3">
      <c r="C2" s="56" t="s">
        <v>46</v>
      </c>
      <c r="D2" s="57"/>
    </row>
    <row r="4" spans="2:6" ht="41.4" x14ac:dyDescent="0.3">
      <c r="B4" s="15" t="s">
        <v>47</v>
      </c>
      <c r="C4" s="44" t="s">
        <v>48</v>
      </c>
      <c r="F4" s="45"/>
    </row>
    <row r="5" spans="2:6" ht="41.4" x14ac:dyDescent="0.3">
      <c r="B5" s="15" t="s">
        <v>49</v>
      </c>
      <c r="C5" s="44" t="s">
        <v>50</v>
      </c>
    </row>
    <row r="6" spans="2:6" ht="69" x14ac:dyDescent="0.3">
      <c r="B6" s="15" t="s">
        <v>51</v>
      </c>
      <c r="C6" s="44" t="s">
        <v>52</v>
      </c>
    </row>
    <row r="7" spans="2:6" x14ac:dyDescent="0.3">
      <c r="B7" s="15"/>
      <c r="C7" s="44"/>
    </row>
    <row r="8" spans="2:6" x14ac:dyDescent="0.3">
      <c r="B8" s="15"/>
      <c r="C8" s="44"/>
    </row>
    <row r="9" spans="2:6" x14ac:dyDescent="0.3">
      <c r="B9" s="15"/>
      <c r="C9" s="42"/>
      <c r="D9" s="63" t="s">
        <v>53</v>
      </c>
      <c r="E9" s="63"/>
    </row>
    <row r="10" spans="2:6" ht="26.25" customHeight="1" x14ac:dyDescent="0.3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3">
      <c r="B11" s="15"/>
      <c r="C11" s="15"/>
    </row>
    <row r="12" spans="2:6" x14ac:dyDescent="0.3">
      <c r="B12" s="15"/>
      <c r="C12" s="18" t="s">
        <v>54</v>
      </c>
      <c r="D12" s="43" t="s">
        <v>55</v>
      </c>
      <c r="E12" s="43" t="s">
        <v>56</v>
      </c>
      <c r="F12" s="43" t="s">
        <v>51</v>
      </c>
    </row>
    <row r="13" spans="2:6" x14ac:dyDescent="0.3">
      <c r="B13" s="64" t="s">
        <v>12</v>
      </c>
      <c r="C13" s="19" t="s">
        <v>13</v>
      </c>
      <c r="D13" s="20">
        <v>5</v>
      </c>
      <c r="E13" s="20">
        <v>3</v>
      </c>
      <c r="F13" s="20" t="str">
        <f t="shared" ref="F13:F41" si="0">IF(E13=5,"OK",IF(D13=0,"Puede esperar",IF(AND(D13=5,E13=0),"Urgente","Importante")))</f>
        <v>Importante</v>
      </c>
    </row>
    <row r="14" spans="2:6" x14ac:dyDescent="0.3">
      <c r="B14" s="64"/>
      <c r="C14" s="19" t="s">
        <v>14</v>
      </c>
      <c r="D14" s="20">
        <v>5</v>
      </c>
      <c r="E14" s="20">
        <v>5</v>
      </c>
      <c r="F14" s="20" t="str">
        <f t="shared" si="0"/>
        <v>OK</v>
      </c>
    </row>
    <row r="15" spans="2:6" x14ac:dyDescent="0.3">
      <c r="B15" s="64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 x14ac:dyDescent="0.3">
      <c r="B16" s="64"/>
      <c r="C16" s="19" t="s">
        <v>16</v>
      </c>
      <c r="D16" s="20">
        <v>5</v>
      </c>
      <c r="E16" s="20">
        <v>5</v>
      </c>
      <c r="F16" s="20" t="str">
        <f t="shared" si="0"/>
        <v>OK</v>
      </c>
    </row>
    <row r="17" spans="2:6" x14ac:dyDescent="0.3">
      <c r="B17" s="64"/>
      <c r="C17" s="19" t="s">
        <v>17</v>
      </c>
      <c r="D17" s="20">
        <v>5</v>
      </c>
      <c r="E17" s="20">
        <v>5</v>
      </c>
      <c r="F17" s="20" t="str">
        <f t="shared" si="0"/>
        <v>OK</v>
      </c>
    </row>
    <row r="18" spans="2:6" x14ac:dyDescent="0.3">
      <c r="B18" s="64"/>
      <c r="C18" s="19" t="s">
        <v>18</v>
      </c>
      <c r="D18" s="20">
        <v>5</v>
      </c>
      <c r="E18" s="20">
        <v>5</v>
      </c>
      <c r="F18" s="20" t="str">
        <f t="shared" si="0"/>
        <v>OK</v>
      </c>
    </row>
    <row r="19" spans="2:6" x14ac:dyDescent="0.3">
      <c r="B19" s="64"/>
      <c r="C19" s="19" t="s">
        <v>19</v>
      </c>
      <c r="D19" s="20">
        <v>3</v>
      </c>
      <c r="E19" s="20">
        <v>5</v>
      </c>
      <c r="F19" s="20" t="str">
        <f t="shared" si="0"/>
        <v>OK</v>
      </c>
    </row>
    <row r="20" spans="2:6" x14ac:dyDescent="0.3">
      <c r="B20" s="65" t="s">
        <v>20</v>
      </c>
      <c r="C20" s="21" t="s">
        <v>21</v>
      </c>
      <c r="D20" s="20">
        <v>5</v>
      </c>
      <c r="E20" s="20">
        <v>5</v>
      </c>
      <c r="F20" s="20" t="str">
        <f t="shared" si="0"/>
        <v>OK</v>
      </c>
    </row>
    <row r="21" spans="2:6" x14ac:dyDescent="0.3">
      <c r="B21" s="66"/>
      <c r="C21" s="21" t="s">
        <v>22</v>
      </c>
      <c r="D21" s="20">
        <v>5</v>
      </c>
      <c r="E21" s="20">
        <v>5</v>
      </c>
      <c r="F21" s="20" t="str">
        <f t="shared" si="0"/>
        <v>OK</v>
      </c>
    </row>
    <row r="22" spans="2:6" x14ac:dyDescent="0.3">
      <c r="B22" s="67" t="s">
        <v>23</v>
      </c>
      <c r="C22" s="21" t="s">
        <v>24</v>
      </c>
      <c r="D22" s="20">
        <v>3</v>
      </c>
      <c r="E22" s="20">
        <v>5</v>
      </c>
      <c r="F22" s="20" t="str">
        <f t="shared" si="0"/>
        <v>OK</v>
      </c>
    </row>
    <row r="23" spans="2:6" x14ac:dyDescent="0.3">
      <c r="B23" s="65"/>
      <c r="C23" s="21" t="s">
        <v>25</v>
      </c>
      <c r="D23" s="20">
        <v>3</v>
      </c>
      <c r="E23" s="20">
        <v>5</v>
      </c>
      <c r="F23" s="20" t="str">
        <f t="shared" si="0"/>
        <v>OK</v>
      </c>
    </row>
    <row r="24" spans="2:6" x14ac:dyDescent="0.3">
      <c r="B24" s="66"/>
      <c r="C24" s="21" t="s">
        <v>26</v>
      </c>
      <c r="D24" s="20">
        <v>5</v>
      </c>
      <c r="E24" s="20">
        <v>5</v>
      </c>
      <c r="F24" s="20" t="str">
        <f t="shared" si="0"/>
        <v>OK</v>
      </c>
    </row>
    <row r="25" spans="2:6" x14ac:dyDescent="0.3">
      <c r="B25" s="58" t="s">
        <v>27</v>
      </c>
      <c r="C25" s="22" t="s">
        <v>28</v>
      </c>
      <c r="D25" s="20">
        <v>0</v>
      </c>
      <c r="E25" s="20">
        <v>5</v>
      </c>
      <c r="F25" s="20" t="str">
        <f t="shared" si="0"/>
        <v>OK</v>
      </c>
    </row>
    <row r="26" spans="2:6" x14ac:dyDescent="0.3">
      <c r="B26" s="59"/>
      <c r="C26" s="22" t="s">
        <v>29</v>
      </c>
      <c r="D26" s="20">
        <v>3</v>
      </c>
      <c r="E26" s="20">
        <v>5</v>
      </c>
      <c r="F26" s="20" t="str">
        <f t="shared" si="0"/>
        <v>OK</v>
      </c>
    </row>
    <row r="27" spans="2:6" x14ac:dyDescent="0.3">
      <c r="B27" s="59"/>
      <c r="C27" s="22" t="s">
        <v>30</v>
      </c>
      <c r="D27" s="20">
        <v>0</v>
      </c>
      <c r="E27" s="20">
        <v>5</v>
      </c>
      <c r="F27" s="20" t="str">
        <f t="shared" si="0"/>
        <v>OK</v>
      </c>
    </row>
    <row r="28" spans="2:6" x14ac:dyDescent="0.3">
      <c r="B28" s="59"/>
      <c r="C28" s="22" t="s">
        <v>31</v>
      </c>
      <c r="D28" s="20">
        <v>3</v>
      </c>
      <c r="E28" s="20">
        <v>5</v>
      </c>
      <c r="F28" s="20" t="str">
        <f t="shared" si="0"/>
        <v>OK</v>
      </c>
    </row>
    <row r="29" spans="2:6" ht="27.6" x14ac:dyDescent="0.3">
      <c r="B29" s="59"/>
      <c r="C29" s="22" t="s">
        <v>32</v>
      </c>
      <c r="D29" s="20">
        <v>5</v>
      </c>
      <c r="E29" s="20">
        <v>5</v>
      </c>
      <c r="F29" s="20" t="str">
        <f t="shared" si="0"/>
        <v>OK</v>
      </c>
    </row>
    <row r="30" spans="2:6" x14ac:dyDescent="0.3">
      <c r="B30" s="59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 ht="27.6" x14ac:dyDescent="0.3">
      <c r="B31" s="59"/>
      <c r="C31" s="22" t="s">
        <v>34</v>
      </c>
      <c r="D31" s="20">
        <v>5</v>
      </c>
      <c r="E31" s="20">
        <v>5</v>
      </c>
      <c r="F31" s="20" t="str">
        <f t="shared" si="0"/>
        <v>OK</v>
      </c>
    </row>
    <row r="32" spans="2:6" x14ac:dyDescent="0.3">
      <c r="B32" s="60"/>
      <c r="C32" s="22" t="s">
        <v>35</v>
      </c>
      <c r="D32" s="20">
        <v>5</v>
      </c>
      <c r="E32" s="20">
        <v>3</v>
      </c>
      <c r="F32" s="20" t="str">
        <f t="shared" si="0"/>
        <v>Importante</v>
      </c>
    </row>
    <row r="33" spans="2:6" x14ac:dyDescent="0.3">
      <c r="B33" s="61" t="s">
        <v>36</v>
      </c>
      <c r="C33" s="23" t="s">
        <v>37</v>
      </c>
      <c r="D33" s="20">
        <v>5</v>
      </c>
      <c r="E33" s="20">
        <v>5</v>
      </c>
      <c r="F33" s="20" t="str">
        <f t="shared" si="0"/>
        <v>OK</v>
      </c>
    </row>
    <row r="34" spans="2:6" x14ac:dyDescent="0.3">
      <c r="B34" s="62"/>
      <c r="C34" s="23" t="s">
        <v>38</v>
      </c>
      <c r="D34" s="20">
        <v>5</v>
      </c>
      <c r="E34" s="20">
        <v>3</v>
      </c>
      <c r="F34" s="20" t="str">
        <f t="shared" si="0"/>
        <v>Importante</v>
      </c>
    </row>
    <row r="35" spans="2:6" x14ac:dyDescent="0.3">
      <c r="B35" s="62"/>
      <c r="C35" s="23" t="s">
        <v>39</v>
      </c>
      <c r="D35" s="20">
        <v>5</v>
      </c>
      <c r="E35" s="20">
        <v>5</v>
      </c>
      <c r="F35" s="20" t="str">
        <f t="shared" si="0"/>
        <v>OK</v>
      </c>
    </row>
    <row r="36" spans="2:6" x14ac:dyDescent="0.3">
      <c r="B36" s="62"/>
      <c r="C36" s="23" t="s">
        <v>40</v>
      </c>
      <c r="D36" s="20">
        <v>5</v>
      </c>
      <c r="E36" s="20">
        <v>5</v>
      </c>
      <c r="F36" s="20" t="str">
        <f t="shared" si="0"/>
        <v>OK</v>
      </c>
    </row>
    <row r="37" spans="2:6" x14ac:dyDescent="0.3">
      <c r="B37" s="62"/>
      <c r="C37" s="23" t="s">
        <v>41</v>
      </c>
      <c r="D37" s="20">
        <v>5</v>
      </c>
      <c r="E37" s="20">
        <v>5</v>
      </c>
      <c r="F37" s="20" t="str">
        <f t="shared" si="0"/>
        <v>OK</v>
      </c>
    </row>
    <row r="38" spans="2:6" x14ac:dyDescent="0.3">
      <c r="B38" s="62"/>
      <c r="C38" s="23" t="s">
        <v>42</v>
      </c>
      <c r="D38" s="20">
        <v>3</v>
      </c>
      <c r="E38" s="20">
        <v>0</v>
      </c>
      <c r="F38" s="20" t="str">
        <f t="shared" si="0"/>
        <v>Importante</v>
      </c>
    </row>
    <row r="39" spans="2:6" ht="28.2" x14ac:dyDescent="0.3">
      <c r="B39" s="62"/>
      <c r="C39" s="23" t="s">
        <v>43</v>
      </c>
      <c r="D39" s="20">
        <v>5</v>
      </c>
      <c r="E39" s="20">
        <v>5</v>
      </c>
      <c r="F39" s="20" t="str">
        <f t="shared" si="0"/>
        <v>OK</v>
      </c>
    </row>
    <row r="40" spans="2:6" x14ac:dyDescent="0.3">
      <c r="B40" s="62"/>
      <c r="C40" s="23" t="s">
        <v>44</v>
      </c>
      <c r="D40" s="20">
        <v>5</v>
      </c>
      <c r="E40" s="20">
        <v>5</v>
      </c>
      <c r="F40" s="20" t="str">
        <f t="shared" si="0"/>
        <v>OK</v>
      </c>
    </row>
    <row r="41" spans="2:6" x14ac:dyDescent="0.3">
      <c r="B41" s="62"/>
      <c r="C41" s="23" t="s">
        <v>45</v>
      </c>
      <c r="D41" s="20">
        <v>5</v>
      </c>
      <c r="E41" s="20">
        <v>5</v>
      </c>
      <c r="F41" s="20" t="str">
        <f t="shared" si="0"/>
        <v>OK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workbookViewId="0">
      <selection activeCell="D9" sqref="D9"/>
    </sheetView>
  </sheetViews>
  <sheetFormatPr baseColWidth="10" defaultColWidth="8.88671875" defaultRowHeight="14.4" x14ac:dyDescent="0.3"/>
  <cols>
    <col min="1" max="1" width="44.88671875" bestFit="1" customWidth="1"/>
    <col min="2" max="2" width="42.44140625" bestFit="1" customWidth="1"/>
  </cols>
  <sheetData>
    <row r="3" spans="1:2" x14ac:dyDescent="0.3">
      <c r="A3" s="17" t="s">
        <v>51</v>
      </c>
      <c r="B3" s="17" t="s">
        <v>54</v>
      </c>
    </row>
    <row r="4" spans="1:2" x14ac:dyDescent="0.3">
      <c r="A4" t="s">
        <v>57</v>
      </c>
      <c r="B4" t="s">
        <v>25</v>
      </c>
    </row>
    <row r="5" spans="1:2" x14ac:dyDescent="0.3">
      <c r="B5" t="s">
        <v>35</v>
      </c>
    </row>
    <row r="6" spans="1:2" x14ac:dyDescent="0.3">
      <c r="B6" t="s">
        <v>34</v>
      </c>
    </row>
    <row r="7" spans="1:2" x14ac:dyDescent="0.3">
      <c r="B7" t="s">
        <v>38</v>
      </c>
    </row>
    <row r="8" spans="1:2" x14ac:dyDescent="0.3">
      <c r="B8" t="s">
        <v>13</v>
      </c>
    </row>
    <row r="9" spans="1:2" x14ac:dyDescent="0.3">
      <c r="B9" t="s">
        <v>45</v>
      </c>
    </row>
    <row r="10" spans="1:2" x14ac:dyDescent="0.3">
      <c r="A10" t="s">
        <v>58</v>
      </c>
      <c r="B10" t="s">
        <v>17</v>
      </c>
    </row>
    <row r="11" spans="1:2" x14ac:dyDescent="0.3">
      <c r="B11" t="s">
        <v>40</v>
      </c>
    </row>
    <row r="12" spans="1:2" x14ac:dyDescent="0.3">
      <c r="B12" t="s">
        <v>26</v>
      </c>
    </row>
    <row r="13" spans="1:2" x14ac:dyDescent="0.3">
      <c r="B13" t="s">
        <v>42</v>
      </c>
    </row>
    <row r="14" spans="1:2" x14ac:dyDescent="0.3">
      <c r="B14" t="s">
        <v>39</v>
      </c>
    </row>
    <row r="15" spans="1:2" x14ac:dyDescent="0.3">
      <c r="A15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5"/>
  <sheetViews>
    <sheetView tabSelected="1" topLeftCell="C1" zoomScale="70" zoomScaleNormal="70" workbookViewId="0">
      <selection activeCell="F15" sqref="F15"/>
    </sheetView>
  </sheetViews>
  <sheetFormatPr baseColWidth="10" defaultColWidth="8.88671875" defaultRowHeight="14.4" x14ac:dyDescent="0.3"/>
  <cols>
    <col min="1" max="1" width="3.33203125" customWidth="1"/>
    <col min="2" max="2" width="47.33203125" customWidth="1"/>
    <col min="3" max="3" width="87.88671875" customWidth="1"/>
    <col min="4" max="4" width="150" customWidth="1"/>
    <col min="5" max="5" width="52.109375" customWidth="1"/>
    <col min="6" max="6" width="67.33203125" customWidth="1"/>
    <col min="7" max="7" width="104.6640625" customWidth="1"/>
  </cols>
  <sheetData>
    <row r="2" spans="2:7" ht="43.8" x14ac:dyDescent="0.75">
      <c r="B2" s="68" t="s">
        <v>59</v>
      </c>
      <c r="C2" s="68"/>
      <c r="D2" s="68"/>
      <c r="E2" s="68"/>
      <c r="F2" s="68"/>
      <c r="G2" s="68"/>
    </row>
    <row r="4" spans="2:7" ht="25.2" customHeight="1" x14ac:dyDescent="0.3">
      <c r="B4" s="25" t="s">
        <v>60</v>
      </c>
      <c r="C4" s="26" t="s">
        <v>61</v>
      </c>
      <c r="D4" s="26" t="s">
        <v>62</v>
      </c>
      <c r="E4" s="27" t="s">
        <v>63</v>
      </c>
      <c r="F4" s="28" t="s">
        <v>64</v>
      </c>
      <c r="G4" s="28" t="s">
        <v>65</v>
      </c>
    </row>
    <row r="5" spans="2:7" ht="32.4" customHeight="1" x14ac:dyDescent="0.3">
      <c r="B5" s="38"/>
      <c r="C5" s="39" t="s">
        <v>66</v>
      </c>
      <c r="D5" s="39" t="s">
        <v>67</v>
      </c>
      <c r="E5" s="40"/>
      <c r="F5" s="41"/>
      <c r="G5" s="41"/>
    </row>
    <row r="6" spans="2:7" ht="42.6" customHeight="1" x14ac:dyDescent="0.45">
      <c r="B6" s="37" t="s">
        <v>25</v>
      </c>
      <c r="C6" s="24"/>
      <c r="D6" s="24"/>
      <c r="E6" s="24"/>
      <c r="F6" s="37"/>
      <c r="G6" s="37"/>
    </row>
    <row r="7" spans="2:7" ht="57.6" customHeight="1" x14ac:dyDescent="0.45">
      <c r="B7" s="37" t="s">
        <v>17</v>
      </c>
      <c r="C7" s="24"/>
      <c r="D7" s="24"/>
      <c r="E7" s="24"/>
      <c r="F7" s="37"/>
      <c r="G7" s="37"/>
    </row>
    <row r="8" spans="2:7" ht="57" customHeight="1" x14ac:dyDescent="0.45">
      <c r="B8" s="37" t="s">
        <v>35</v>
      </c>
      <c r="C8" s="24" t="s">
        <v>82</v>
      </c>
      <c r="D8" s="24" t="s">
        <v>79</v>
      </c>
      <c r="E8" s="24" t="s">
        <v>68</v>
      </c>
      <c r="F8" s="48" t="s">
        <v>80</v>
      </c>
      <c r="G8" s="37" t="s">
        <v>81</v>
      </c>
    </row>
    <row r="9" spans="2:7" ht="49.8" customHeight="1" x14ac:dyDescent="0.45">
      <c r="B9" s="37" t="s">
        <v>40</v>
      </c>
      <c r="C9" s="24"/>
      <c r="D9" s="24"/>
      <c r="E9" s="24"/>
      <c r="F9" s="37"/>
      <c r="G9" s="37"/>
    </row>
    <row r="10" spans="2:7" ht="57.6" customHeight="1" x14ac:dyDescent="0.45">
      <c r="B10" s="37" t="s">
        <v>38</v>
      </c>
      <c r="C10" s="24" t="s">
        <v>83</v>
      </c>
      <c r="D10" s="24" t="s">
        <v>84</v>
      </c>
      <c r="E10" s="24" t="s">
        <v>85</v>
      </c>
      <c r="F10" s="48" t="s">
        <v>86</v>
      </c>
      <c r="G10" s="37" t="s">
        <v>91</v>
      </c>
    </row>
    <row r="11" spans="2:7" ht="38.4" customHeight="1" x14ac:dyDescent="0.3">
      <c r="B11" s="37" t="s">
        <v>13</v>
      </c>
      <c r="C11" s="37" t="s">
        <v>87</v>
      </c>
      <c r="D11" s="37" t="s">
        <v>88</v>
      </c>
      <c r="E11" s="37" t="s">
        <v>89</v>
      </c>
      <c r="F11" s="37" t="s">
        <v>90</v>
      </c>
      <c r="G11" s="37"/>
    </row>
    <row r="12" spans="2:7" ht="44.4" customHeight="1" x14ac:dyDescent="0.3">
      <c r="B12" s="37" t="s">
        <v>26</v>
      </c>
      <c r="C12" s="37"/>
      <c r="D12" s="37"/>
      <c r="E12" s="37"/>
      <c r="F12" s="37"/>
      <c r="G12" s="37"/>
    </row>
    <row r="13" spans="2:7" ht="51" customHeight="1" x14ac:dyDescent="0.3">
      <c r="B13" s="37" t="s">
        <v>45</v>
      </c>
      <c r="C13" s="37" t="s">
        <v>69</v>
      </c>
      <c r="D13" s="37" t="s">
        <v>70</v>
      </c>
      <c r="E13" s="37" t="s">
        <v>71</v>
      </c>
      <c r="F13" s="48" t="s">
        <v>78</v>
      </c>
      <c r="G13" s="37" t="s">
        <v>92</v>
      </c>
    </row>
    <row r="14" spans="2:7" ht="45" customHeight="1" x14ac:dyDescent="0.3">
      <c r="B14" s="37" t="s">
        <v>42</v>
      </c>
      <c r="C14" s="37" t="s">
        <v>72</v>
      </c>
      <c r="D14" s="37" t="s">
        <v>73</v>
      </c>
      <c r="E14" s="37" t="s">
        <v>74</v>
      </c>
      <c r="F14" s="48" t="s">
        <v>93</v>
      </c>
      <c r="G14" s="37" t="s">
        <v>76</v>
      </c>
    </row>
    <row r="15" spans="2:7" ht="42" customHeight="1" x14ac:dyDescent="0.3">
      <c r="B15" s="37" t="s">
        <v>39</v>
      </c>
      <c r="C15" s="37" t="s">
        <v>95</v>
      </c>
      <c r="D15" s="37" t="s">
        <v>96</v>
      </c>
      <c r="E15" s="47" t="s">
        <v>77</v>
      </c>
      <c r="F15" s="69" t="s">
        <v>90</v>
      </c>
      <c r="G15" s="37" t="s">
        <v>94</v>
      </c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3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Jhoan Manuel Tovar Rendon</cp:lastModifiedBy>
  <cp:revision/>
  <dcterms:created xsi:type="dcterms:W3CDTF">2025-08-08T19:10:45Z</dcterms:created>
  <dcterms:modified xsi:type="dcterms:W3CDTF">2026-04-12T17:52:30Z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