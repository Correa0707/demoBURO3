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Universidad\5\P.I1\formato\"/>
    </mc:Choice>
  </mc:AlternateContent>
  <xr:revisionPtr revIDLastSave="0" documentId="8_{BB3D8896-F330-48B4-AEF0-58339889FA59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<sst xmlns="http://schemas.openxmlformats.org/spreadsheetml/2006/main" count="231" uniqueCount="159">
  <si>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</si>
  <si>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</si>
  <si>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</si>
  <si>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</si>
  <si>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</si>
  <si>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</si>
  <si>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</si>
  <si>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</si>
  <si>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</si>
  <si>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scheme val="minor"/>
      </rPr>
      <t>Califícate del 1 al 5, donde:
4.5-5 significa “Sobresaliente”.</t>
    </r>
    <r>
      <rPr>
        <sz val="11"/>
        <color rgb="FF000000"/>
        <rFont val="Aptos Narrow"/>
        <scheme val="minor"/>
      </rPr>
      <t xml:space="preserve"> Tienes un dominio sólido y lo aplicas con seguridad.
</t>
    </r>
    <r>
      <rPr>
        <b/>
        <sz val="11"/>
        <color rgb="FF000000"/>
        <rFont val="Aptos Narrow"/>
        <scheme val="minor"/>
      </rPr>
      <t xml:space="preserve">3.8- 4.4 significa “Proficiente”. </t>
    </r>
    <r>
      <rPr>
        <sz val="11"/>
        <color rgb="FF000000"/>
        <rFont val="Aptos Narrow"/>
        <scheme val="minor"/>
      </rPr>
      <t xml:space="preserve">Manejas la habilidad de forma adecuada y consistente.
</t>
    </r>
    <r>
      <rPr>
        <b/>
        <sz val="11"/>
        <color rgb="FF000000"/>
        <rFont val="Aptos Narrow"/>
        <scheme val="minor"/>
      </rPr>
      <t xml:space="preserve">3.0- 3.7 significa “En desarrollo”. </t>
    </r>
    <r>
      <rPr>
        <sz val="11"/>
        <color rgb="FF000000"/>
        <rFont val="Aptos Narrow"/>
        <scheme val="minor"/>
      </rPr>
      <t xml:space="preserve">Tienes avances, pero aún necesitas mejorar.
</t>
    </r>
    <r>
      <rPr>
        <b/>
        <sz val="11"/>
        <color rgb="FF000000"/>
        <rFont val="Aptos Narrow"/>
        <scheme val="minor"/>
      </rPr>
      <t>0-2.9 significa “Básico”.</t>
    </r>
    <r>
      <rPr>
        <sz val="11"/>
        <color rgb="FF000000"/>
        <rFont val="Aptos Narrow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</si>
  <si>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</si>
  <si>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</si>
  <si>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</si>
  <si>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</si>
  <si>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</si>
  <si>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</si>
  <si>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</si>
  <si>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</si>
  <si>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</si>
  <si>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</si>
  <si>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</si>
  <si>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</si>
  <si>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</si>
  <si>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</si>
  <si>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</si>
  <si>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</si>
  <si>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</si>
  <si>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</si>
  <si>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</si>
  <si>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</si>
  <si>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</si>
  <si>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</si>
  <si>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</si>
  <si>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</si>
  <si>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</si>
  <si>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</si>
  <si>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</si>
  <si>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</si>
  <si>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</si>
  <si>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</si>
  <si>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</si>
  <si>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</si>
  <si>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</si>
  <si>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</si>
  <si>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</si>
  <si>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</si>
  <si>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</si>
  <si>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</si>
  <si>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</si>
  <si>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</si>
  <si>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</si>
  <si>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</si>
  <si>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</si>
  <si>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</si>
  <si>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</si>
  <si>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</si>
  <si>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</si>
  <si>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</si>
  <si>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</si>
  <si>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Grand Total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</si>
  <si>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</si>
  <si>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</si>
  <si>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</si>
  <si>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</si>
  <si>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</si>
  <si>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</si>
  <si>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</si>
  <si>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</si>
  <si>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</si>
  <si>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Ser mas seguro y exponer fluidamente</t>
  </si>
  <si>
    <t>Practicar frente al espejo y con publico</t>
  </si>
  <si>
    <t>Espejo y amigos que me ayuden a mejorar</t>
  </si>
  <si>
    <t>No trabarme al hablar y exponer claramente mis ideas</t>
  </si>
  <si>
    <t>Tener mas conversaciones para mejorar mi confianza</t>
  </si>
  <si>
    <t>Amigos o tutores</t>
  </si>
  <si>
    <t>Tener mas conocimiento y poder hacerlo correctamente</t>
  </si>
  <si>
    <t>Aprender mas y lograr realizar todo correctamente</t>
  </si>
  <si>
    <t>Aprender sobre este framework</t>
  </si>
  <si>
    <t>Poder realizar todo lo que quiero en el tiempo que tengo</t>
  </si>
  <si>
    <t xml:space="preserve">Interactuar mas con la audiencia </t>
  </si>
  <si>
    <t>Aprender a usar esta aplicación</t>
  </si>
  <si>
    <t>Aprender como se usa</t>
  </si>
  <si>
    <t xml:space="preserve">Mejorar mi programacion </t>
  </si>
  <si>
    <t>Estudiar y leer mas sobre el tema</t>
  </si>
  <si>
    <t>Estudiar y practicar mas</t>
  </si>
  <si>
    <t>Estudiar y aprender a usarlo</t>
  </si>
  <si>
    <t>Planear bien mis horarios y lo que voy a hacer</t>
  </si>
  <si>
    <t>Practicar mis exposicion con publico e interactuar</t>
  </si>
  <si>
    <t>Leer y estudiar sobre el tema</t>
  </si>
  <si>
    <t>Leer,estudiar y usarla</t>
  </si>
  <si>
    <t>Practicar masy aprender bien sobre este lenguaje</t>
  </si>
  <si>
    <t>libros e internet</t>
  </si>
  <si>
    <t>herramientas practicas</t>
  </si>
  <si>
    <t>Semana 1</t>
  </si>
  <si>
    <t>Practicar 10 min/día frente al espejo con temas libres</t>
  </si>
  <si>
    <t>Ejercicios de normalización: 1FN y 2FN</t>
  </si>
  <si>
    <t>Diseñar casos de prueba con partición de equivalencia</t>
  </si>
  <si>
    <t>Crear modelos y migraciones básicas</t>
  </si>
  <si>
    <t>Registrar cómo uso mi tiempo durante 3 días</t>
  </si>
  <si>
    <t>Estudiar técnicas de Q&amp;A y manejo de audiencia</t>
  </si>
  <si>
    <t>Practicar hacer preguntas abiertas al público</t>
  </si>
  <si>
    <t>Crear cuenta y explorar la interfaz de Jira</t>
  </si>
  <si>
    <t>Instalar Selenium y ejecutar primer script básico</t>
  </si>
  <si>
    <t>Ejercicios de normalización: 3FN y BCNF</t>
  </si>
  <si>
    <t>Implementar templates y formularios</t>
  </si>
  <si>
    <t>Usar técnica Pomodoro durante toda la semana</t>
  </si>
  <si>
    <t>Evaluar productividad y definir sistema definitivo</t>
  </si>
  <si>
    <t>Usar etiquetas, prioridades y asignaciones</t>
  </si>
  <si>
    <t>Repasar POO: clases, herencia, polimorfismo</t>
  </si>
  <si>
    <t>Practicar manejo de archivos y excepciones</t>
  </si>
  <si>
    <t>Grabar un video y analizar postura y gestos</t>
  </si>
  <si>
    <t>Mini-exposición de 5 min con amigos y recibir feedback</t>
  </si>
  <si>
    <t>Ajustar técnicas según la retroalimentación recibida</t>
  </si>
  <si>
    <t>Exposición de 10 min evaluada por pares</t>
  </si>
  <si>
    <t>Tener 3 conversaciones intencionadas por día</t>
  </si>
  <si>
    <t>Exponer un tema breve sin preparación previa</t>
  </si>
  <si>
    <t>Participar activamente en un debate grupal</t>
  </si>
  <si>
    <t>Realizar presentación grabada y revisar fluidez</t>
  </si>
  <si>
    <t>Exponer ante un grupo sin notas de apoyo</t>
  </si>
  <si>
    <t>Leer fundamentos: entidades, atributos, relaciones</t>
  </si>
  <si>
    <t>Diseñar modelo ER completo para caso de estudio</t>
  </si>
  <si>
    <t>Implementar el modelo en MySQL o PostgreSQL</t>
  </si>
  <si>
    <t>Revisar y optimizar el diseño implementado</t>
  </si>
  <si>
    <t>Estudiar partición de equivalencia y valores límite</t>
  </si>
  <si>
    <t>Diseñar casos de prueba con valores límite</t>
  </si>
  <si>
    <t>Aplicar tablas de decisión en software de ejemplo</t>
  </si>
  <si>
    <t>Documentar todos los casos de prueba diseñados</t>
  </si>
  <si>
    <t>Revisión final y corrección de casos de prueba</t>
  </si>
  <si>
    <t>Instalar Django y crear proyecto 'Hola Mundo'</t>
  </si>
  <si>
    <t>Construir vistas y URLs con CRUD básico</t>
  </si>
  <si>
    <t>Agregar autenticación de usuarios</t>
  </si>
  <si>
    <t>Crear horario semanal con bloques de estudio</t>
  </si>
  <si>
    <t>Revisar y ajustar plan según cumplimiento real</t>
  </si>
  <si>
    <t>Consolidar hábitos y mantener rutina optimizada</t>
  </si>
  <si>
    <t>Exposición con sección de preguntas y respuestas</t>
  </si>
  <si>
    <t>Incorporar dinámicas participativas en presentación</t>
  </si>
  <si>
    <t>Presentación con interacción activa evaluada</t>
  </si>
  <si>
    <t>Crear proyecto y tablero Kanban en Jira</t>
  </si>
  <si>
    <t>Gestionar sprints y backlog correctamente</t>
  </si>
  <si>
    <t>Simular gestión completa de proyecto ficticio</t>
  </si>
  <si>
    <t>Generar reportes y métricas del proyecto en Jira</t>
  </si>
  <si>
    <t>Automatizar navegación y clics en web de prueba</t>
  </si>
  <si>
    <t>Usar localizadores: ID, XPath y CSS Selector</t>
  </si>
  <si>
    <t>Crear suite de pruebas para un formulario web</t>
  </si>
  <si>
    <t>Generar reporte de resultados de pruebas</t>
  </si>
  <si>
    <t>Integrar pruebas en un flujo de CI básico</t>
  </si>
  <si>
    <t>Resolver 5 ejercicios de estructuras de datos</t>
  </si>
  <si>
    <t>Crear script de automatización funcional</t>
  </si>
  <si>
    <t>Desarrollar mini-proyecto con buenas prácticas</t>
  </si>
  <si>
    <t>semana 2</t>
  </si>
  <si>
    <t>semana 3</t>
  </si>
  <si>
    <t>semana 4</t>
  </si>
  <si>
    <t>semana 5</t>
  </si>
  <si>
    <t>semana 6</t>
  </si>
  <si>
    <t>Ver como desplegar</t>
  </si>
  <si>
    <t>Practicar exposición final con manejo total del espacio</t>
  </si>
  <si>
    <t>Tratar de demostrar total fluidez en exposición evaluada</t>
  </si>
  <si>
    <t>Practicar presentación final con dominio total de la audiencia</t>
  </si>
  <si>
    <t>Ver como empezar 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</si>
</sst>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 tint="-0.249977111117893"/>
      </left>
      <right/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4" fillId="0" borderId="0"/>
  </cellStyleXfs>
  <cellXfs count="73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2" fillId="0" borderId="0" xfId="0" applyFont="1"/>
    <xf numFmtId="0" fontId="20" fillId="0" borderId="0" xfId="0" applyFont="1"/>
    <xf numFmtId="0" fontId="0" fillId="0" borderId="2" xfId="0" applyBorder="1"/>
    <xf numFmtId="0" fontId="8" fillId="7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3" fillId="0" borderId="0" xfId="0" applyFont="1" applyAlignment="1">
      <alignment horizontal="left" wrapText="1"/>
    </xf>
    <xf numFmtId="14" fontId="0" fillId="0" borderId="2" xfId="0" applyNumberFormat="1" applyBorder="1"/>
    <xf numFmtId="0" fontId="0" fillId="7" borderId="2" xfId="0" applyFill="1" applyBorder="1"/>
    <xf numFmtId="0" fontId="14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2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0" fontId="0" fillId="0" borderId="8" xfId="0" applyBorder="1"/>
    <xf numFmtId="0" fontId="0" fillId="0" borderId="15" xfId="0" applyBorder="1"/>
    <xf numFmtId="0" fontId="0" fillId="0" borderId="17" xfId="0" applyBorder="1" applyAlignment="1">
      <alignment horizontal="center" vertical="center"/>
    </xf>
    <xf numFmtId="0" fontId="0" fillId="0" borderId="18" xfId="0" applyBorder="1"/>
    <xf numFmtId="0" fontId="12" fillId="7" borderId="1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09C0EE6-4A2F-424A-BF6F-4B6A1E363B1B}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4.5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n v="3"/>
    <x v="0"/>
  </r>
  <r>
    <x v="1"/>
    <n v="3"/>
    <n v="5"/>
    <x v="1"/>
  </r>
  <r>
    <x v="2"/>
    <n v="5"/>
    <n v="5"/>
    <x v="1"/>
  </r>
  <r>
    <x v="3"/>
    <n v="0"/>
    <n v="0"/>
    <x v="2"/>
  </r>
  <r>
    <x v="4"/>
    <n v="5"/>
    <n v="0"/>
    <x v="3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2"/>
  </r>
  <r>
    <x v="10"/>
    <n v="3"/>
    <n v="0"/>
    <x v="0"/>
  </r>
  <r>
    <x v="11"/>
    <n v="5"/>
    <n v="0"/>
    <x v="3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2"/>
  </r>
  <r>
    <x v="16"/>
    <n v="0"/>
    <n v="0"/>
    <x v="2"/>
  </r>
  <r>
    <x v="17"/>
    <n v="5"/>
    <n v="5"/>
    <x v="1"/>
  </r>
  <r>
    <x v="18"/>
    <n v="3"/>
    <n v="3"/>
    <x v="0"/>
  </r>
  <r>
    <x v="19"/>
    <n v="3"/>
    <n v="0"/>
    <x v="0"/>
  </r>
  <r>
    <x v="20"/>
    <n v="5"/>
    <n v="5"/>
    <x v="1"/>
  </r>
  <r>
    <x v="21"/>
    <n v="3"/>
    <n v="3"/>
    <x v="0"/>
  </r>
  <r>
    <x v="22"/>
    <n v="5"/>
    <n v="0"/>
    <x v="3"/>
  </r>
  <r>
    <x v="23"/>
    <n v="5"/>
    <n v="0"/>
    <x v="3"/>
  </r>
  <r>
    <x v="24"/>
    <n v="0"/>
    <n v="5"/>
    <x v="1"/>
  </r>
  <r>
    <x v="25"/>
    <n v="5"/>
    <n v="0"/>
    <x v="3"/>
  </r>
  <r>
    <x v="26"/>
    <n v="0"/>
    <n v="5"/>
    <x v="1"/>
  </r>
  <r>
    <x v="27"/>
    <n v="0"/>
    <n v="3"/>
    <x v="2"/>
  </r>
  <r>
    <x v="28"/>
    <n v="5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6"/>
    </i>
    <i r="1">
      <x v="18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7" dataDxfId="6">
  <autoFilter ref="C14:D22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3" dataDxfId="2">
  <autoFilter ref="C40:D49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workbookViewId="0">
      <selection activeCell="C1" sqref="C1"/>
    </sheetView>
  </sheetViews>
  <sheetFormatPr defaultRowHeight="14.4" x14ac:dyDescent="0.3"/>
  <cols>
    <col min="2" max="2" width="154.5546875" customWidth="1"/>
  </cols>
  <sheetData>
    <row r="1" spans="1:6" x14ac:dyDescent="0.3">
      <c r="A1" s="34"/>
      <c r="B1" s="13"/>
    </row>
    <row r="2" spans="1:6" ht="47.4" x14ac:dyDescent="0.9">
      <c r="B2" s="27" t="s">
        <v>0</v>
      </c>
      <c r="D2" s="28"/>
      <c r="E2" s="28"/>
      <c r="F2" s="28"/>
    </row>
    <row r="4" spans="1:6" ht="45.6" x14ac:dyDescent="0.3">
      <c r="B4" s="31" t="s">
        <v>1</v>
      </c>
    </row>
    <row r="5" spans="1:6" ht="15.6" x14ac:dyDescent="0.3">
      <c r="B5" s="31"/>
    </row>
    <row r="6" spans="1:6" ht="15.6" x14ac:dyDescent="0.3">
      <c r="B6" s="32" t="s">
        <v>2</v>
      </c>
    </row>
    <row r="7" spans="1:6" ht="34.200000000000003" x14ac:dyDescent="0.55000000000000004">
      <c r="B7" s="32" t="s">
        <v>3</v>
      </c>
      <c r="C7" s="29"/>
    </row>
    <row r="8" spans="1:6" ht="28.8" x14ac:dyDescent="0.55000000000000004">
      <c r="B8" s="32" t="s">
        <v>4</v>
      </c>
      <c r="C8" s="29"/>
    </row>
    <row r="9" spans="1:6" ht="28.8" x14ac:dyDescent="0.55000000000000004">
      <c r="B9" s="32" t="s">
        <v>5</v>
      </c>
      <c r="C9" s="29"/>
    </row>
    <row r="10" spans="1:6" ht="15.6" x14ac:dyDescent="0.3">
      <c r="B10" s="32" t="s">
        <v>6</v>
      </c>
    </row>
    <row r="11" spans="1:6" ht="15.6" x14ac:dyDescent="0.3">
      <c r="B11" s="30"/>
    </row>
    <row r="12" spans="1:6" ht="30.6" x14ac:dyDescent="0.3">
      <c r="B12" s="31" t="s">
        <v>7</v>
      </c>
    </row>
    <row r="13" spans="1:6" ht="15.6" x14ac:dyDescent="0.3">
      <c r="B13" s="30"/>
    </row>
    <row r="14" spans="1:6" ht="15.6" x14ac:dyDescent="0.3">
      <c r="B14" s="33"/>
    </row>
    <row r="15" spans="1:6" ht="15.6" x14ac:dyDescent="0.3">
      <c r="B15" s="33"/>
    </row>
    <row r="16" spans="1:6" ht="15.6" x14ac:dyDescent="0.3">
      <c r="B16" s="33"/>
    </row>
    <row r="17" spans="2:2" ht="15.6" x14ac:dyDescent="0.3">
      <c r="B17" s="33"/>
    </row>
    <row r="18" spans="2:2" ht="15.6" x14ac:dyDescent="0.3">
      <c r="B18" s="33"/>
    </row>
    <row r="19" spans="2:2" ht="15.6" x14ac:dyDescent="0.3">
      <c r="B19" s="30"/>
    </row>
    <row r="21" spans="2:2" x14ac:dyDescent="0.3">
      <c r="B21" s="34" t="s">
        <v>8</v>
      </c>
    </row>
    <row r="52" spans="1:2" x14ac:dyDescent="0.3">
      <c r="A52" s="34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topLeftCell="A31" workbookViewId="0">
      <selection activeCell="D56" sqref="D56"/>
    </sheetView>
  </sheetViews>
  <sheetFormatPr defaultRowHeight="14.4" x14ac:dyDescent="0.3"/>
  <cols>
    <col min="1" max="1" width="5.5546875" customWidth="1"/>
    <col min="2" max="2" width="5.6640625" customWidth="1"/>
    <col min="3" max="3" width="31.88671875" bestFit="1" customWidth="1"/>
    <col min="4" max="4" width="41.5546875" customWidth="1"/>
    <col min="5" max="5" width="15" bestFit="1" customWidth="1"/>
  </cols>
  <sheetData>
    <row r="32" spans="2:17" ht="15" customHeight="1" x14ac:dyDescent="0.3">
      <c r="B32" s="9"/>
      <c r="C32" s="51" t="s">
        <v>9</v>
      </c>
      <c r="D32" s="52"/>
      <c r="E32" s="52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3">
      <c r="B33" s="9"/>
      <c r="C33" s="52"/>
      <c r="D33" s="52"/>
      <c r="E33" s="52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3">
      <c r="B34" s="9"/>
      <c r="C34" s="52"/>
      <c r="D34" s="52"/>
      <c r="E34" s="52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3">
      <c r="B35" s="9"/>
      <c r="C35" s="52"/>
      <c r="D35" s="52"/>
      <c r="E35" s="52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3">
      <c r="B36" s="9"/>
      <c r="C36" s="52"/>
      <c r="D36" s="52"/>
      <c r="E36" s="52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3">
      <c r="B37" s="9"/>
      <c r="C37" s="52"/>
      <c r="D37" s="52"/>
      <c r="E37" s="52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3">
      <c r="B38" s="9"/>
      <c r="C38" s="52"/>
      <c r="D38" s="52"/>
      <c r="E38" s="52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3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3">
      <c r="B41" s="9"/>
      <c r="C41" s="48" t="s">
        <v>12</v>
      </c>
      <c r="D41" s="10" t="s">
        <v>13</v>
      </c>
      <c r="E41" s="11">
        <v>5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3">
      <c r="B42" s="9"/>
      <c r="C42" s="49"/>
      <c r="D42" s="10" t="s">
        <v>14</v>
      </c>
      <c r="E42" s="11">
        <v>4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3">
      <c r="B43" s="9"/>
      <c r="C43" s="49"/>
      <c r="D43" s="10" t="s">
        <v>15</v>
      </c>
      <c r="E43" s="11">
        <v>5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3">
      <c r="B44" s="9"/>
      <c r="C44" s="49"/>
      <c r="D44" s="10" t="s">
        <v>16</v>
      </c>
      <c r="E44" s="11">
        <v>4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3">
      <c r="B45" s="9"/>
      <c r="C45" s="49"/>
      <c r="D45" s="10" t="s">
        <v>17</v>
      </c>
      <c r="E45" s="11">
        <v>5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3">
      <c r="B46" s="9"/>
      <c r="C46" s="49"/>
      <c r="D46" s="10" t="s">
        <v>18</v>
      </c>
      <c r="E46" s="11">
        <v>4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3">
      <c r="B47" s="9"/>
      <c r="C47" s="50"/>
      <c r="D47" s="10" t="s">
        <v>19</v>
      </c>
      <c r="E47" s="11">
        <v>5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3">
      <c r="B48" s="9"/>
      <c r="C48" s="48" t="s">
        <v>20</v>
      </c>
      <c r="D48" s="12" t="s">
        <v>21</v>
      </c>
      <c r="E48" s="11">
        <v>5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3">
      <c r="B49" s="9"/>
      <c r="C49" s="50"/>
      <c r="D49" s="12" t="s">
        <v>22</v>
      </c>
      <c r="E49" s="11">
        <v>5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3">
      <c r="B50" s="9"/>
      <c r="C50" s="48" t="s">
        <v>23</v>
      </c>
      <c r="D50" s="12" t="s">
        <v>24</v>
      </c>
      <c r="E50" s="11">
        <v>4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3">
      <c r="B51" s="9"/>
      <c r="C51" s="49"/>
      <c r="D51" s="12" t="s">
        <v>25</v>
      </c>
      <c r="E51" s="11">
        <v>4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3">
      <c r="B52" s="9"/>
      <c r="C52" s="50"/>
      <c r="D52" s="12" t="s">
        <v>26</v>
      </c>
      <c r="E52" s="11">
        <v>4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topLeftCell="A35" workbookViewId="0">
      <selection activeCell="E49" sqref="E49"/>
    </sheetView>
  </sheetViews>
  <sheetFormatPr defaultRowHeight="14.4" x14ac:dyDescent="0.3"/>
  <cols>
    <col min="1" max="1" width="4.44140625" customWidth="1"/>
    <col min="2" max="2" width="5.44140625" customWidth="1"/>
    <col min="3" max="3" width="50" bestFit="1" customWidth="1"/>
    <col min="4" max="4" width="17.33203125" bestFit="1" customWidth="1"/>
  </cols>
  <sheetData>
    <row r="2" spans="2:17" ht="15" customHeight="1" x14ac:dyDescent="0.3">
      <c r="B2" s="53" t="s">
        <v>9</v>
      </c>
      <c r="C2" s="54"/>
      <c r="D2" s="54"/>
      <c r="E2" s="44"/>
    </row>
    <row r="3" spans="2:17" x14ac:dyDescent="0.3">
      <c r="B3" s="54"/>
      <c r="C3" s="54"/>
      <c r="D3" s="54"/>
      <c r="E3" s="44"/>
    </row>
    <row r="4" spans="2:17" x14ac:dyDescent="0.3">
      <c r="B4" s="54"/>
      <c r="C4" s="54"/>
      <c r="D4" s="54"/>
      <c r="E4" s="44"/>
    </row>
    <row r="5" spans="2:17" x14ac:dyDescent="0.3">
      <c r="B5" s="54"/>
      <c r="C5" s="54"/>
      <c r="D5" s="54"/>
      <c r="E5" s="44"/>
    </row>
    <row r="6" spans="2:17" x14ac:dyDescent="0.3">
      <c r="B6" s="54"/>
      <c r="C6" s="54"/>
      <c r="D6" s="54"/>
      <c r="E6" s="44"/>
    </row>
    <row r="7" spans="2:17" x14ac:dyDescent="0.3">
      <c r="B7" s="54"/>
      <c r="C7" s="54"/>
      <c r="D7" s="54"/>
      <c r="E7" s="44"/>
    </row>
    <row r="8" spans="2:17" x14ac:dyDescent="0.3">
      <c r="B8" s="54"/>
      <c r="C8" s="54"/>
      <c r="D8" s="54"/>
      <c r="E8" s="44"/>
    </row>
    <row r="9" spans="2:1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3">
      <c r="B15" s="3"/>
      <c r="C15" s="4" t="s">
        <v>28</v>
      </c>
      <c r="D15" s="5">
        <v>4.5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3">
      <c r="B16" s="3"/>
      <c r="C16" s="4" t="s">
        <v>29</v>
      </c>
      <c r="D16" s="5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4" t="s">
        <v>30</v>
      </c>
      <c r="D17" s="5">
        <v>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4" t="s">
        <v>31</v>
      </c>
      <c r="D18" s="5">
        <v>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">
      <c r="B19" s="3"/>
      <c r="C19" s="4" t="s">
        <v>32</v>
      </c>
      <c r="D19" s="5">
        <v>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">
      <c r="B20" s="3"/>
      <c r="C20" s="4" t="s">
        <v>33</v>
      </c>
      <c r="D20" s="5">
        <v>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">
      <c r="B21" s="3"/>
      <c r="C21" s="4" t="s">
        <v>34</v>
      </c>
      <c r="D21" s="5">
        <v>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">
      <c r="B22" s="3"/>
      <c r="C22" s="4" t="s">
        <v>35</v>
      </c>
      <c r="D22" s="5">
        <v>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">
      <c r="B41" s="6"/>
      <c r="C41" s="7" t="s">
        <v>37</v>
      </c>
      <c r="D41" s="8">
        <v>4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">
      <c r="B42" s="6"/>
      <c r="C42" s="7" t="s">
        <v>38</v>
      </c>
      <c r="D42" s="8">
        <v>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">
      <c r="B43" s="6"/>
      <c r="C43" s="7" t="s">
        <v>39</v>
      </c>
      <c r="D43" s="8">
        <v>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">
      <c r="B44" s="6"/>
      <c r="C44" s="7" t="s">
        <v>40</v>
      </c>
      <c r="D44" s="8">
        <v>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">
      <c r="B45" s="6"/>
      <c r="C45" s="7" t="s">
        <v>41</v>
      </c>
      <c r="D45" s="8">
        <v>4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3">
      <c r="B46" s="6"/>
      <c r="C46" s="7" t="s">
        <v>42</v>
      </c>
      <c r="D46" s="8">
        <v>3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3">
      <c r="B47" s="6"/>
      <c r="C47" s="7" t="s">
        <v>43</v>
      </c>
      <c r="D47" s="8">
        <v>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3">
      <c r="B48" s="6"/>
      <c r="C48" s="7" t="s">
        <v>44</v>
      </c>
      <c r="D48" s="8">
        <v>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3">
      <c r="B49" s="6"/>
      <c r="C49" s="7" t="s">
        <v>45</v>
      </c>
      <c r="D49" s="8">
        <v>3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3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3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3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3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3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topLeftCell="A24" workbookViewId="0">
      <selection activeCell="D42" sqref="D42"/>
    </sheetView>
  </sheetViews>
  <sheetFormatPr defaultRowHeight="14.4" x14ac:dyDescent="0.3"/>
  <cols>
    <col min="2" max="2" width="31.88671875" customWidth="1"/>
    <col min="3" max="3" width="46.88671875" customWidth="1"/>
    <col min="4" max="4" width="24.88671875" bestFit="1" customWidth="1"/>
    <col min="5" max="5" width="18.5546875" customWidth="1"/>
    <col min="6" max="6" width="19.6640625" customWidth="1"/>
  </cols>
  <sheetData>
    <row r="2" spans="2:6" ht="36.75" customHeight="1" x14ac:dyDescent="0.3">
      <c r="C2" s="55" t="s">
        <v>46</v>
      </c>
      <c r="D2" s="56"/>
    </row>
    <row r="4" spans="2:6" ht="41.4" x14ac:dyDescent="0.3">
      <c r="B4" s="15" t="s">
        <v>47</v>
      </c>
      <c r="C4" s="42" t="s">
        <v>48</v>
      </c>
      <c r="F4" s="43"/>
    </row>
    <row r="5" spans="2:6" ht="41.4" x14ac:dyDescent="0.3">
      <c r="B5" s="15" t="s">
        <v>49</v>
      </c>
      <c r="C5" s="42" t="s">
        <v>50</v>
      </c>
    </row>
    <row r="6" spans="2:6" ht="69" x14ac:dyDescent="0.3">
      <c r="B6" s="15" t="s">
        <v>51</v>
      </c>
      <c r="C6" s="42" t="s">
        <v>52</v>
      </c>
    </row>
    <row r="7" spans="2:6" x14ac:dyDescent="0.3">
      <c r="B7" s="15"/>
      <c r="C7" s="42"/>
    </row>
    <row r="8" spans="2:6" x14ac:dyDescent="0.3">
      <c r="B8" s="15"/>
      <c r="C8" s="42"/>
    </row>
    <row r="9" spans="2:6" x14ac:dyDescent="0.3">
      <c r="B9" s="15"/>
      <c r="C9" s="40"/>
      <c r="D9" s="62" t="s">
        <v>53</v>
      </c>
      <c r="E9" s="62"/>
    </row>
    <row r="10" spans="2:6" ht="26.25" customHeight="1" x14ac:dyDescent="0.3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3">
      <c r="B11" s="15"/>
      <c r="C11" s="15"/>
    </row>
    <row r="12" spans="2:6" x14ac:dyDescent="0.3">
      <c r="B12" s="15"/>
      <c r="C12" s="18" t="s">
        <v>54</v>
      </c>
      <c r="D12" s="41" t="s">
        <v>55</v>
      </c>
      <c r="E12" s="41" t="s">
        <v>56</v>
      </c>
      <c r="F12" s="41" t="s">
        <v>51</v>
      </c>
    </row>
    <row r="13" spans="2:6" x14ac:dyDescent="0.3">
      <c r="B13" s="63" t="s">
        <v>12</v>
      </c>
      <c r="C13" s="19" t="s">
        <v>13</v>
      </c>
      <c r="D13" s="20">
        <v>5</v>
      </c>
      <c r="E13" s="20">
        <v>5</v>
      </c>
      <c r="F13" s="20" t="str">
        <f t="shared" ref="F13:F41" si="0">IF(E13=5,"OK",IF(D13=0,"Puede esperar",IF(AND(D13=5,E13=0),"Urgente","Importante")))</f>
        <v>OK</v>
      </c>
    </row>
    <row r="14" spans="2:6" x14ac:dyDescent="0.3">
      <c r="B14" s="63"/>
      <c r="C14" s="19" t="s">
        <v>14</v>
      </c>
      <c r="D14" s="20">
        <v>5</v>
      </c>
      <c r="E14" s="20">
        <v>5</v>
      </c>
      <c r="F14" s="20" t="str">
        <f t="shared" si="0"/>
        <v>OK</v>
      </c>
    </row>
    <row r="15" spans="2:6" x14ac:dyDescent="0.3">
      <c r="B15" s="63"/>
      <c r="C15" s="19" t="s">
        <v>15</v>
      </c>
      <c r="D15" s="20">
        <v>5</v>
      </c>
      <c r="E15" s="20">
        <v>5</v>
      </c>
      <c r="F15" s="20" t="str">
        <f t="shared" si="0"/>
        <v>OK</v>
      </c>
    </row>
    <row r="16" spans="2:6" x14ac:dyDescent="0.3">
      <c r="B16" s="63"/>
      <c r="C16" s="19" t="s">
        <v>16</v>
      </c>
      <c r="D16" s="20">
        <v>5</v>
      </c>
      <c r="E16" s="20">
        <v>3</v>
      </c>
      <c r="F16" s="20" t="str">
        <f t="shared" si="0"/>
        <v>Importante</v>
      </c>
    </row>
    <row r="17" spans="2:6" x14ac:dyDescent="0.3">
      <c r="B17" s="63"/>
      <c r="C17" s="19" t="s">
        <v>17</v>
      </c>
      <c r="D17" s="20">
        <v>5</v>
      </c>
      <c r="E17" s="20">
        <v>5</v>
      </c>
      <c r="F17" s="20" t="str">
        <f t="shared" si="0"/>
        <v>OK</v>
      </c>
    </row>
    <row r="18" spans="2:6" x14ac:dyDescent="0.3">
      <c r="B18" s="63"/>
      <c r="C18" s="19" t="s">
        <v>18</v>
      </c>
      <c r="D18" s="20">
        <v>5</v>
      </c>
      <c r="E18" s="20">
        <v>5</v>
      </c>
      <c r="F18" s="20" t="str">
        <f t="shared" si="0"/>
        <v>OK</v>
      </c>
    </row>
    <row r="19" spans="2:6" x14ac:dyDescent="0.3">
      <c r="B19" s="63"/>
      <c r="C19" s="19" t="s">
        <v>19</v>
      </c>
      <c r="D19" s="20">
        <v>5</v>
      </c>
      <c r="E19" s="20">
        <v>5</v>
      </c>
      <c r="F19" s="20" t="str">
        <f t="shared" si="0"/>
        <v>OK</v>
      </c>
    </row>
    <row r="20" spans="2:6" x14ac:dyDescent="0.3">
      <c r="B20" s="64" t="s">
        <v>20</v>
      </c>
      <c r="C20" s="21" t="s">
        <v>21</v>
      </c>
      <c r="D20" s="20">
        <v>5</v>
      </c>
      <c r="E20" s="20">
        <v>5</v>
      </c>
      <c r="F20" s="20" t="str">
        <f t="shared" si="0"/>
        <v>OK</v>
      </c>
    </row>
    <row r="21" spans="2:6" x14ac:dyDescent="0.3">
      <c r="B21" s="65"/>
      <c r="C21" s="21" t="s">
        <v>22</v>
      </c>
      <c r="D21" s="20">
        <v>5</v>
      </c>
      <c r="E21" s="20">
        <v>5</v>
      </c>
      <c r="F21" s="20" t="str">
        <f t="shared" si="0"/>
        <v>OK</v>
      </c>
    </row>
    <row r="22" spans="2:6" x14ac:dyDescent="0.3">
      <c r="B22" s="66" t="s">
        <v>23</v>
      </c>
      <c r="C22" s="21" t="s">
        <v>24</v>
      </c>
      <c r="D22" s="20">
        <v>5</v>
      </c>
      <c r="E22" s="20">
        <v>3</v>
      </c>
      <c r="F22" s="20" t="str">
        <f t="shared" si="0"/>
        <v>Importante</v>
      </c>
    </row>
    <row r="23" spans="2:6" x14ac:dyDescent="0.3">
      <c r="B23" s="64"/>
      <c r="C23" s="21" t="s">
        <v>25</v>
      </c>
      <c r="D23" s="20">
        <v>5</v>
      </c>
      <c r="E23" s="20">
        <v>3</v>
      </c>
      <c r="F23" s="20" t="str">
        <f t="shared" si="0"/>
        <v>Importante</v>
      </c>
    </row>
    <row r="24" spans="2:6" x14ac:dyDescent="0.3">
      <c r="B24" s="65"/>
      <c r="C24" s="21" t="s">
        <v>26</v>
      </c>
      <c r="D24" s="20">
        <v>5</v>
      </c>
      <c r="E24" s="20">
        <v>3</v>
      </c>
      <c r="F24" s="20" t="str">
        <f t="shared" si="0"/>
        <v>Importante</v>
      </c>
    </row>
    <row r="25" spans="2:6" x14ac:dyDescent="0.3">
      <c r="B25" s="57" t="s">
        <v>27</v>
      </c>
      <c r="C25" s="22" t="s">
        <v>28</v>
      </c>
      <c r="D25" s="20">
        <v>5</v>
      </c>
      <c r="E25" s="20">
        <v>3</v>
      </c>
      <c r="F25" s="20" t="str">
        <f t="shared" si="0"/>
        <v>Importante</v>
      </c>
    </row>
    <row r="26" spans="2:6" x14ac:dyDescent="0.3">
      <c r="B26" s="58"/>
      <c r="C26" s="22" t="s">
        <v>29</v>
      </c>
      <c r="D26" s="20">
        <v>5</v>
      </c>
      <c r="E26" s="20">
        <v>5</v>
      </c>
      <c r="F26" s="20" t="str">
        <f t="shared" si="0"/>
        <v>OK</v>
      </c>
    </row>
    <row r="27" spans="2:6" x14ac:dyDescent="0.3">
      <c r="B27" s="58"/>
      <c r="C27" s="22" t="s">
        <v>30</v>
      </c>
      <c r="D27" s="20">
        <v>5</v>
      </c>
      <c r="E27" s="20">
        <v>5</v>
      </c>
      <c r="F27" s="20" t="str">
        <f t="shared" si="0"/>
        <v>OK</v>
      </c>
    </row>
    <row r="28" spans="2:6" x14ac:dyDescent="0.3">
      <c r="B28" s="58"/>
      <c r="C28" s="22" t="s">
        <v>31</v>
      </c>
      <c r="D28" s="20">
        <v>5</v>
      </c>
      <c r="E28" s="20">
        <v>3</v>
      </c>
      <c r="F28" s="20" t="str">
        <f t="shared" si="0"/>
        <v>Importante</v>
      </c>
    </row>
    <row r="29" spans="2:6" ht="27.6" x14ac:dyDescent="0.3">
      <c r="B29" s="58"/>
      <c r="C29" s="22" t="s">
        <v>32</v>
      </c>
      <c r="D29" s="20">
        <v>5</v>
      </c>
      <c r="E29" s="20">
        <v>0</v>
      </c>
      <c r="F29" s="20" t="str">
        <f t="shared" si="0"/>
        <v>Urgente</v>
      </c>
    </row>
    <row r="30" spans="2:6" x14ac:dyDescent="0.3">
      <c r="B30" s="58"/>
      <c r="C30" s="22" t="s">
        <v>33</v>
      </c>
      <c r="D30" s="20">
        <v>5</v>
      </c>
      <c r="E30" s="20">
        <v>5</v>
      </c>
      <c r="F30" s="20" t="str">
        <f t="shared" si="0"/>
        <v>OK</v>
      </c>
    </row>
    <row r="31" spans="2:6" ht="27.6" x14ac:dyDescent="0.3">
      <c r="B31" s="58"/>
      <c r="C31" s="22" t="s">
        <v>34</v>
      </c>
      <c r="D31" s="20">
        <v>5</v>
      </c>
      <c r="E31" s="20">
        <v>5</v>
      </c>
      <c r="F31" s="20" t="str">
        <f t="shared" si="0"/>
        <v>OK</v>
      </c>
    </row>
    <row r="32" spans="2:6" x14ac:dyDescent="0.3">
      <c r="B32" s="59"/>
      <c r="C32" s="22" t="s">
        <v>35</v>
      </c>
      <c r="D32" s="20">
        <v>5</v>
      </c>
      <c r="E32" s="20">
        <v>3</v>
      </c>
      <c r="F32" s="20" t="str">
        <f t="shared" si="0"/>
        <v>Importante</v>
      </c>
    </row>
    <row r="33" spans="2:6" x14ac:dyDescent="0.3">
      <c r="B33" s="60" t="s">
        <v>36</v>
      </c>
      <c r="C33" s="23" t="s">
        <v>37</v>
      </c>
      <c r="D33" s="20">
        <v>0</v>
      </c>
      <c r="E33" s="20">
        <v>3</v>
      </c>
      <c r="F33" s="20" t="str">
        <f t="shared" si="0"/>
        <v>Puede esperar</v>
      </c>
    </row>
    <row r="34" spans="2:6" x14ac:dyDescent="0.3">
      <c r="B34" s="61"/>
      <c r="C34" s="23" t="s">
        <v>38</v>
      </c>
      <c r="D34" s="20">
        <v>0</v>
      </c>
      <c r="E34" s="20">
        <v>3</v>
      </c>
      <c r="F34" s="20" t="str">
        <f t="shared" si="0"/>
        <v>Puede esperar</v>
      </c>
    </row>
    <row r="35" spans="2:6" x14ac:dyDescent="0.3">
      <c r="B35" s="61"/>
      <c r="C35" s="23" t="s">
        <v>39</v>
      </c>
      <c r="D35" s="20">
        <v>0</v>
      </c>
      <c r="E35" s="20">
        <v>3</v>
      </c>
      <c r="F35" s="20" t="str">
        <f t="shared" si="0"/>
        <v>Puede esperar</v>
      </c>
    </row>
    <row r="36" spans="2:6" x14ac:dyDescent="0.3">
      <c r="B36" s="61"/>
      <c r="C36" s="23" t="s">
        <v>40</v>
      </c>
      <c r="D36" s="20">
        <v>0</v>
      </c>
      <c r="E36" s="20">
        <v>3</v>
      </c>
      <c r="F36" s="20" t="str">
        <f t="shared" si="0"/>
        <v>Puede esperar</v>
      </c>
    </row>
    <row r="37" spans="2:6" x14ac:dyDescent="0.3">
      <c r="B37" s="61"/>
      <c r="C37" s="23" t="s">
        <v>41</v>
      </c>
      <c r="D37" s="20">
        <v>0</v>
      </c>
      <c r="E37" s="20">
        <v>3</v>
      </c>
      <c r="F37" s="20" t="str">
        <f t="shared" si="0"/>
        <v>Puede esperar</v>
      </c>
    </row>
    <row r="38" spans="2:6" x14ac:dyDescent="0.3">
      <c r="B38" s="61"/>
      <c r="C38" s="23" t="s">
        <v>42</v>
      </c>
      <c r="D38" s="20">
        <v>0</v>
      </c>
      <c r="E38" s="20">
        <v>3</v>
      </c>
      <c r="F38" s="20" t="str">
        <f t="shared" si="0"/>
        <v>Puede esperar</v>
      </c>
    </row>
    <row r="39" spans="2:6" ht="28.2" x14ac:dyDescent="0.3">
      <c r="B39" s="61"/>
      <c r="C39" s="23" t="s">
        <v>43</v>
      </c>
      <c r="D39" s="20">
        <v>0</v>
      </c>
      <c r="E39" s="20">
        <v>5</v>
      </c>
      <c r="F39" s="20" t="str">
        <f t="shared" si="0"/>
        <v>OK</v>
      </c>
    </row>
    <row r="40" spans="2:6" x14ac:dyDescent="0.3">
      <c r="B40" s="61"/>
      <c r="C40" s="23" t="s">
        <v>44</v>
      </c>
      <c r="D40" s="20">
        <v>0</v>
      </c>
      <c r="E40" s="20">
        <v>5</v>
      </c>
      <c r="F40" s="20" t="str">
        <f t="shared" si="0"/>
        <v>OK</v>
      </c>
    </row>
    <row r="41" spans="2:6" x14ac:dyDescent="0.3">
      <c r="B41" s="61"/>
      <c r="C41" s="23" t="s">
        <v>45</v>
      </c>
      <c r="D41" s="20">
        <v>0</v>
      </c>
      <c r="E41" s="20">
        <v>0</v>
      </c>
      <c r="F41" s="20" t="str">
        <f t="shared" si="0"/>
        <v>Puede esperar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workbookViewId="0">
      <selection activeCell="B15" sqref="B15"/>
    </sheetView>
  </sheetViews>
  <sheetFormatPr defaultRowHeight="14.4" x14ac:dyDescent="0.3"/>
  <cols>
    <col min="1" max="1" width="44.88671875" bestFit="1" customWidth="1"/>
    <col min="2" max="2" width="46.109375" bestFit="1" customWidth="1"/>
  </cols>
  <sheetData>
    <row r="3" spans="1:2" x14ac:dyDescent="0.3">
      <c r="A3" s="17" t="s">
        <v>51</v>
      </c>
      <c r="B3" s="17" t="s">
        <v>54</v>
      </c>
    </row>
    <row r="4" spans="1:2" x14ac:dyDescent="0.3">
      <c r="A4" t="s">
        <v>57</v>
      </c>
      <c r="B4" t="s">
        <v>25</v>
      </c>
    </row>
    <row r="5" spans="1:2" x14ac:dyDescent="0.3">
      <c r="B5" t="s">
        <v>35</v>
      </c>
    </row>
    <row r="6" spans="1:2" x14ac:dyDescent="0.3">
      <c r="B6" t="s">
        <v>34</v>
      </c>
    </row>
    <row r="7" spans="1:2" x14ac:dyDescent="0.3">
      <c r="B7" t="s">
        <v>38</v>
      </c>
    </row>
    <row r="8" spans="1:2" x14ac:dyDescent="0.3">
      <c r="B8" t="s">
        <v>13</v>
      </c>
    </row>
    <row r="9" spans="1:2" x14ac:dyDescent="0.3">
      <c r="B9" t="s">
        <v>45</v>
      </c>
    </row>
    <row r="10" spans="1:2" x14ac:dyDescent="0.3">
      <c r="A10" t="s">
        <v>58</v>
      </c>
      <c r="B10" t="s">
        <v>17</v>
      </c>
    </row>
    <row r="11" spans="1:2" x14ac:dyDescent="0.3">
      <c r="B11" t="s">
        <v>40</v>
      </c>
    </row>
    <row r="12" spans="1:2" x14ac:dyDescent="0.3">
      <c r="B12" t="s">
        <v>26</v>
      </c>
    </row>
    <row r="13" spans="1:2" x14ac:dyDescent="0.3">
      <c r="B13" t="s">
        <v>42</v>
      </c>
    </row>
    <row r="14" spans="1:2" x14ac:dyDescent="0.3">
      <c r="B14" t="s">
        <v>39</v>
      </c>
    </row>
    <row r="15" spans="1:2" x14ac:dyDescent="0.3">
      <c r="A15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L15"/>
  <sheetViews>
    <sheetView tabSelected="1" topLeftCell="E1" workbookViewId="0">
      <selection activeCell="L15" sqref="L15"/>
    </sheetView>
  </sheetViews>
  <sheetFormatPr defaultRowHeight="14.4" x14ac:dyDescent="0.3"/>
  <cols>
    <col min="1" max="1" width="3.33203125" customWidth="1"/>
    <col min="2" max="2" width="47.33203125" customWidth="1"/>
    <col min="3" max="3" width="60" customWidth="1"/>
    <col min="4" max="4" width="33" customWidth="1"/>
    <col min="5" max="5" width="52.109375" customWidth="1"/>
    <col min="6" max="6" width="37.5546875" customWidth="1"/>
    <col min="7" max="7" width="40.88671875" customWidth="1"/>
    <col min="8" max="8" width="43.77734375" customWidth="1"/>
    <col min="9" max="9" width="45.5546875" customWidth="1"/>
    <col min="10" max="10" width="43.6640625" customWidth="1"/>
    <col min="11" max="11" width="39.88671875" customWidth="1"/>
    <col min="12" max="12" width="44" customWidth="1"/>
    <col min="13" max="13" width="16.77734375" customWidth="1"/>
  </cols>
  <sheetData>
    <row r="2" spans="2:12" ht="43.8" x14ac:dyDescent="0.75">
      <c r="B2" s="47" t="s">
        <v>60</v>
      </c>
      <c r="C2" s="47"/>
      <c r="D2" s="47"/>
      <c r="E2" s="47"/>
      <c r="F2" s="47"/>
      <c r="G2" s="47"/>
    </row>
    <row r="4" spans="2:12" ht="15.6" x14ac:dyDescent="0.3">
      <c r="B4" s="24" t="s">
        <v>61</v>
      </c>
      <c r="C4" s="25" t="s">
        <v>62</v>
      </c>
      <c r="D4" s="25" t="s">
        <v>63</v>
      </c>
      <c r="E4" s="26" t="s">
        <v>64</v>
      </c>
      <c r="F4" s="67" t="s">
        <v>65</v>
      </c>
      <c r="G4" s="72" t="s">
        <v>66</v>
      </c>
      <c r="H4" s="72"/>
      <c r="I4" s="72"/>
      <c r="J4" s="72"/>
      <c r="K4" s="72"/>
      <c r="L4" s="72"/>
    </row>
    <row r="5" spans="2:12" ht="15" x14ac:dyDescent="0.3">
      <c r="B5" s="36"/>
      <c r="C5" s="37" t="s">
        <v>67</v>
      </c>
      <c r="D5" s="37" t="s">
        <v>68</v>
      </c>
      <c r="E5" s="38"/>
      <c r="F5" s="39"/>
      <c r="G5" s="70" t="s">
        <v>93</v>
      </c>
      <c r="H5" s="71" t="s">
        <v>149</v>
      </c>
      <c r="I5" s="71" t="s">
        <v>150</v>
      </c>
      <c r="J5" s="71" t="s">
        <v>151</v>
      </c>
      <c r="K5" s="71" t="s">
        <v>152</v>
      </c>
      <c r="L5" s="71" t="s">
        <v>153</v>
      </c>
    </row>
    <row r="6" spans="2:12" x14ac:dyDescent="0.3">
      <c r="B6" s="35" t="s">
        <v>25</v>
      </c>
      <c r="C6" s="46" t="s">
        <v>69</v>
      </c>
      <c r="D6" s="46" t="s">
        <v>70</v>
      </c>
      <c r="E6" s="46" t="s">
        <v>71</v>
      </c>
      <c r="F6" s="45">
        <v>46096</v>
      </c>
      <c r="G6" s="68" t="s">
        <v>94</v>
      </c>
      <c r="H6" s="69" t="s">
        <v>110</v>
      </c>
      <c r="I6" s="69" t="s">
        <v>111</v>
      </c>
      <c r="J6" s="69" t="s">
        <v>112</v>
      </c>
      <c r="K6" s="69" t="s">
        <v>113</v>
      </c>
      <c r="L6" s="69" t="s">
        <v>155</v>
      </c>
    </row>
    <row r="7" spans="2:12" x14ac:dyDescent="0.3">
      <c r="B7" s="35" t="s">
        <v>17</v>
      </c>
      <c r="C7" s="46" t="s">
        <v>72</v>
      </c>
      <c r="D7" s="46" t="s">
        <v>73</v>
      </c>
      <c r="E7" s="46" t="s">
        <v>74</v>
      </c>
      <c r="F7" s="45">
        <v>46096</v>
      </c>
      <c r="G7" s="68" t="s">
        <v>114</v>
      </c>
      <c r="H7" s="69" t="s">
        <v>115</v>
      </c>
      <c r="I7" s="69" t="s">
        <v>116</v>
      </c>
      <c r="J7" s="69" t="s">
        <v>117</v>
      </c>
      <c r="K7" s="69" t="s">
        <v>118</v>
      </c>
      <c r="L7" s="69" t="s">
        <v>156</v>
      </c>
    </row>
    <row r="8" spans="2:12" x14ac:dyDescent="0.3">
      <c r="B8" s="35" t="s">
        <v>35</v>
      </c>
      <c r="C8" s="46" t="s">
        <v>75</v>
      </c>
      <c r="D8" s="46" t="s">
        <v>83</v>
      </c>
      <c r="E8" s="46" t="s">
        <v>91</v>
      </c>
      <c r="F8" s="45">
        <v>46096</v>
      </c>
      <c r="G8" s="68" t="s">
        <v>119</v>
      </c>
      <c r="H8" s="69" t="s">
        <v>95</v>
      </c>
      <c r="I8" s="69" t="s">
        <v>103</v>
      </c>
      <c r="J8" s="69" t="s">
        <v>120</v>
      </c>
      <c r="K8" s="69" t="s">
        <v>121</v>
      </c>
      <c r="L8" s="69" t="s">
        <v>122</v>
      </c>
    </row>
    <row r="9" spans="2:12" x14ac:dyDescent="0.3">
      <c r="B9" s="35" t="s">
        <v>40</v>
      </c>
      <c r="C9" s="46" t="s">
        <v>76</v>
      </c>
      <c r="D9" s="46" t="s">
        <v>84</v>
      </c>
      <c r="E9" s="46" t="s">
        <v>91</v>
      </c>
      <c r="F9" s="45">
        <v>46096</v>
      </c>
      <c r="G9" s="68" t="s">
        <v>123</v>
      </c>
      <c r="H9" s="69" t="s">
        <v>96</v>
      </c>
      <c r="I9" s="69" t="s">
        <v>124</v>
      </c>
      <c r="J9" s="69" t="s">
        <v>125</v>
      </c>
      <c r="K9" s="69" t="s">
        <v>126</v>
      </c>
      <c r="L9" s="69" t="s">
        <v>127</v>
      </c>
    </row>
    <row r="10" spans="2:12" x14ac:dyDescent="0.3">
      <c r="B10" s="35" t="s">
        <v>38</v>
      </c>
      <c r="C10" s="46" t="s">
        <v>77</v>
      </c>
      <c r="D10" s="46" t="s">
        <v>85</v>
      </c>
      <c r="E10" s="46" t="s">
        <v>91</v>
      </c>
      <c r="F10" s="45">
        <v>46096</v>
      </c>
      <c r="G10" s="68" t="s">
        <v>128</v>
      </c>
      <c r="H10" s="69" t="s">
        <v>97</v>
      </c>
      <c r="I10" s="69" t="s">
        <v>129</v>
      </c>
      <c r="J10" s="69" t="s">
        <v>104</v>
      </c>
      <c r="K10" s="69" t="s">
        <v>130</v>
      </c>
      <c r="L10" s="69" t="s">
        <v>154</v>
      </c>
    </row>
    <row r="11" spans="2:12" x14ac:dyDescent="0.3">
      <c r="B11" s="35" t="s">
        <v>13</v>
      </c>
      <c r="C11" s="35" t="s">
        <v>78</v>
      </c>
      <c r="D11" s="35" t="s">
        <v>86</v>
      </c>
      <c r="E11" s="35" t="s">
        <v>92</v>
      </c>
      <c r="F11" s="45">
        <v>46096</v>
      </c>
      <c r="G11" s="68" t="s">
        <v>98</v>
      </c>
      <c r="H11" s="69" t="s">
        <v>131</v>
      </c>
      <c r="I11" s="69" t="s">
        <v>105</v>
      </c>
      <c r="J11" s="69" t="s">
        <v>132</v>
      </c>
      <c r="K11" s="69" t="s">
        <v>106</v>
      </c>
      <c r="L11" s="69" t="s">
        <v>133</v>
      </c>
    </row>
    <row r="12" spans="2:12" x14ac:dyDescent="0.3">
      <c r="B12" s="35" t="s">
        <v>26</v>
      </c>
      <c r="C12" s="35" t="s">
        <v>79</v>
      </c>
      <c r="D12" s="35" t="s">
        <v>87</v>
      </c>
      <c r="E12" s="46" t="s">
        <v>91</v>
      </c>
      <c r="F12" s="45">
        <v>46096</v>
      </c>
      <c r="G12" s="68" t="s">
        <v>99</v>
      </c>
      <c r="H12" s="69" t="s">
        <v>100</v>
      </c>
      <c r="I12" s="69" t="s">
        <v>134</v>
      </c>
      <c r="J12" s="69" t="s">
        <v>135</v>
      </c>
      <c r="K12" s="69" t="s">
        <v>136</v>
      </c>
      <c r="L12" s="69" t="s">
        <v>157</v>
      </c>
    </row>
    <row r="13" spans="2:12" x14ac:dyDescent="0.3">
      <c r="B13" s="35" t="s">
        <v>45</v>
      </c>
      <c r="C13" s="35" t="s">
        <v>80</v>
      </c>
      <c r="D13" s="35" t="s">
        <v>88</v>
      </c>
      <c r="E13" s="46" t="s">
        <v>91</v>
      </c>
      <c r="F13" s="45">
        <v>46096</v>
      </c>
      <c r="G13" s="68" t="s">
        <v>101</v>
      </c>
      <c r="H13" s="69" t="s">
        <v>137</v>
      </c>
      <c r="I13" s="69" t="s">
        <v>138</v>
      </c>
      <c r="J13" s="69" t="s">
        <v>107</v>
      </c>
      <c r="K13" s="69" t="s">
        <v>139</v>
      </c>
      <c r="L13" s="69" t="s">
        <v>140</v>
      </c>
    </row>
    <row r="14" spans="2:12" x14ac:dyDescent="0.3">
      <c r="B14" s="35" t="s">
        <v>42</v>
      </c>
      <c r="C14" s="35" t="s">
        <v>81</v>
      </c>
      <c r="D14" s="35" t="s">
        <v>89</v>
      </c>
      <c r="E14" s="46" t="s">
        <v>91</v>
      </c>
      <c r="F14" s="45">
        <v>46096</v>
      </c>
      <c r="G14" s="68" t="s">
        <v>102</v>
      </c>
      <c r="H14" s="69" t="s">
        <v>141</v>
      </c>
      <c r="I14" s="69" t="s">
        <v>142</v>
      </c>
      <c r="J14" s="69" t="s">
        <v>143</v>
      </c>
      <c r="K14" s="69" t="s">
        <v>144</v>
      </c>
      <c r="L14" s="69" t="s">
        <v>145</v>
      </c>
    </row>
    <row r="15" spans="2:12" x14ac:dyDescent="0.3">
      <c r="B15" s="35" t="s">
        <v>39</v>
      </c>
      <c r="C15" s="35" t="s">
        <v>82</v>
      </c>
      <c r="D15" s="35" t="s">
        <v>90</v>
      </c>
      <c r="E15" s="46" t="s">
        <v>91</v>
      </c>
      <c r="F15" s="45">
        <v>46096</v>
      </c>
      <c r="G15" s="68" t="s">
        <v>108</v>
      </c>
      <c r="H15" s="69" t="s">
        <v>109</v>
      </c>
      <c r="I15" s="69" t="s">
        <v>146</v>
      </c>
      <c r="J15" s="69" t="s">
        <v>147</v>
      </c>
      <c r="K15" s="69" t="s">
        <v>148</v>
      </c>
      <c r="L15" s="69" t="s">
        <v>158</v>
      </c>
    </row>
  </sheetData>
  <mergeCells count="2">
    <mergeCell ref="B2:G2"/>
    <mergeCell ref="G4:L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customXml/itemProps3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Pablo Martinez</dc:creator>
  <cp:keywords/>
  <dc:description/>
  <cp:lastModifiedBy>Juan Pablo Martinez</cp:lastModifiedBy>
  <cp:revision/>
  <dcterms:created xsi:type="dcterms:W3CDTF">2025-08-08T19:10:45Z</dcterms:created>
  <dcterms:modified xsi:type="dcterms:W3CDTF">2026-03-15T22:46:17Z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